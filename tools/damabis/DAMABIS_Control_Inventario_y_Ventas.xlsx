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0_Listas_y_Apoyo" sheetId="1" state="visible" r:id="rId1"/>
    <sheet name="1_Compras_e_Inventario_Inicial" sheetId="2" state="visible" r:id="rId2"/>
    <sheet name="2_Control_de_Stock" sheetId="3" state="visible" r:id="rId3"/>
    <sheet name="3_Ventas_Diarias" sheetId="4" state="visible" r:id="rId4"/>
    <sheet name="4_Dashboard_DAMABIS" sheetId="5" state="visible" r:id="rId5"/>
  </sheets>
  <definedNames>
    <definedName name="Lista_Categorias">'0_Listas_y_Apoyo'!$A$4:$A$13</definedName>
    <definedName name="Lista_MetodosPago">'0_Listas_y_Apoyo'!$B$4:$B$8</definedName>
    <definedName name="Lista_Proveedores">'0_Listas_y_Apoyo'!$C$4:$C$9</definedName>
    <definedName name="Lista_SKU">'2_Control_de_Stock'!$A$11:$A$210</definedName>
    <definedName name="_xlnm._FilterDatabase" localSheetId="1" hidden="1">'1_Compras_e_Inventario_Inicial'!$A$10:$I$510</definedName>
    <definedName name="_xlnm.Print_Titles" localSheetId="1">'1_Compras_e_Inventario_Inicial'!$10:$10</definedName>
    <definedName name="_xlnm._FilterDatabase" localSheetId="2" hidden="1">'2_Control_de_Stock'!$A$10:$N$210</definedName>
    <definedName name="_xlnm.Print_Titles" localSheetId="2">'2_Control_de_Stock'!$10:$10</definedName>
    <definedName name="_xlnm._FilterDatabase" localSheetId="3" hidden="1">'3_Ventas_Diarias'!$A$10:$K$610</definedName>
    <definedName name="_xlnm.Print_Titles" localSheetId="3">'3_Ventas_Diarias'!$10:$10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S/ &quot;#,##0.00"/>
    <numFmt numFmtId="165" formatCode="yyyy-mm-dd"/>
    <numFmt numFmtId="166" formatCode="dd/mm/yyyy"/>
    <numFmt numFmtId="167" formatCode="0.0%"/>
    <numFmt numFmtId="168" formatCode="0.000000"/>
  </numFmts>
  <fonts count="20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FFFFFF"/>
      <sz val="10"/>
    </font>
    <font>
      <name val="Segoe UI"/>
      <color rgb="FF4A2C3D"/>
      <sz val="10"/>
    </font>
    <font>
      <name val="Segoe UI"/>
      <b val="1"/>
      <color rgb="FFFFFFFF"/>
      <sz val="11"/>
    </font>
    <font>
      <name val="Segoe UI"/>
      <b val="1"/>
      <color rgb="FFFFFFFF"/>
      <sz val="20"/>
    </font>
    <font>
      <name val="Segoe UI"/>
      <b val="1"/>
      <color rgb="FFFFFFFF"/>
      <sz val="9"/>
    </font>
    <font>
      <name val="Segoe UI"/>
      <b val="1"/>
      <color rgb="FF8E44AD"/>
      <sz val="16"/>
    </font>
    <font>
      <name val="Segoe UI"/>
      <i val="1"/>
      <color rgb="FF8E44AD"/>
      <sz val="9"/>
    </font>
    <font>
      <name val="Segoe UI"/>
      <color rgb="FF0000FF"/>
      <sz val="10"/>
    </font>
    <font>
      <name val="Segoe UI"/>
      <b val="1"/>
      <color rgb="FF4A2C3D"/>
      <sz val="10"/>
    </font>
    <font>
      <name val="Segoe UI"/>
      <b val="1"/>
      <color rgb="FF8E44AD"/>
      <sz val="11"/>
    </font>
    <font>
      <name val="Segoe UI"/>
      <b val="1"/>
      <color rgb="FF196F3D"/>
      <sz val="10"/>
    </font>
    <font>
      <name val="Segoe UI"/>
      <i val="1"/>
      <color rgb="FF7D6B76"/>
      <sz val="9"/>
    </font>
    <font>
      <name val="Segoe UI"/>
      <color rgb="FF4A2C3D"/>
      <sz val="9"/>
    </font>
    <font>
      <name val="Segoe UI"/>
      <b val="1"/>
      <color rgb="FF8E44AD"/>
      <sz val="10"/>
    </font>
    <font>
      <name val="Segoe UI"/>
      <b val="1"/>
      <color rgb="FF0000FF"/>
      <sz val="12"/>
    </font>
    <font>
      <name val="Segoe UI"/>
      <b val="1"/>
      <color rgb="FFE85A8A"/>
      <sz val="12"/>
    </font>
    <font>
      <name val="Segoe UI"/>
      <b val="1"/>
      <color rgb="FF8E44AD"/>
      <sz val="9"/>
    </font>
    <font>
      <name val="Segoe U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FF6B9D"/>
      </patternFill>
    </fill>
    <fill>
      <patternFill patternType="solid">
        <fgColor rgb="FF8E44AD"/>
      </patternFill>
    </fill>
    <fill>
      <patternFill patternType="solid">
        <fgColor rgb="FFF5EEF8"/>
      </patternFill>
    </fill>
    <fill>
      <patternFill patternType="solid">
        <fgColor rgb="FFFFFFFF"/>
      </patternFill>
    </fill>
    <fill>
      <patternFill patternType="solid">
        <fgColor rgb="FFE85A8A"/>
      </patternFill>
    </fill>
    <fill>
      <patternFill patternType="solid">
        <fgColor rgb="FFAED6F1"/>
      </patternFill>
    </fill>
    <fill>
      <patternFill patternType="solid">
        <fgColor rgb="FFF1948A"/>
      </patternFill>
    </fill>
    <fill>
      <patternFill patternType="solid">
        <fgColor rgb="FFFFFF00"/>
      </patternFill>
    </fill>
    <fill>
      <patternFill patternType="solid">
        <fgColor rgb="FFA569BD"/>
      </patternFill>
    </fill>
  </fills>
  <borders count="3">
    <border>
      <left/>
      <right/>
      <top/>
      <bottom/>
      <diagonal/>
    </border>
    <border>
      <left style="thin">
        <color rgb="FFA569BD"/>
      </left>
      <right style="thin">
        <color rgb="FFA569BD"/>
      </right>
      <top style="thin">
        <color rgb="FFA569BD"/>
      </top>
      <bottom style="thin">
        <color rgb="FFA569BD"/>
      </bottom>
    </border>
    <border>
      <left style="medium">
        <color rgb="FF8E44AD"/>
      </left>
      <right style="medium">
        <color rgb="FF8E44AD"/>
      </right>
      <top style="medium">
        <color rgb="FF8E44AD"/>
      </top>
      <bottom style="medium">
        <color rgb="FF8E44AD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14" fillId="4" borderId="1" pivotButton="0" quotePrefix="0" xfId="0"/>
    <xf numFmtId="3" fontId="14" fillId="4" borderId="1" pivotButton="0" quotePrefix="0" xfId="0"/>
    <xf numFmtId="164" fontId="14" fillId="4" borderId="1" pivotButton="0" quotePrefix="0" xfId="0"/>
    <xf numFmtId="168" fontId="14" fillId="4" borderId="1" pivotButton="0" quotePrefix="0" xfId="0"/>
    <xf numFmtId="0" fontId="3" fillId="5" borderId="1" pivotButton="0" quotePrefix="0" xfId="0"/>
    <xf numFmtId="0" fontId="14" fillId="5" borderId="1" pivotButton="0" quotePrefix="0" xfId="0"/>
    <xf numFmtId="3" fontId="14" fillId="5" borderId="1" pivotButton="0" quotePrefix="0" xfId="0"/>
    <xf numFmtId="164" fontId="14" fillId="5" borderId="1" pivotButton="0" quotePrefix="0" xfId="0"/>
    <xf numFmtId="168" fontId="14" fillId="5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7" fillId="4" borderId="2" applyAlignment="1" pivotButton="0" quotePrefix="0" xfId="0">
      <alignment horizontal="center" vertical="center" wrapText="1"/>
    </xf>
    <xf numFmtId="3" fontId="7" fillId="4" borderId="2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/>
    </xf>
    <xf numFmtId="166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pivotButton="0" quotePrefix="0" xfId="0"/>
    <xf numFmtId="3" fontId="9" fillId="0" borderId="1" applyAlignment="1" pivotButton="0" quotePrefix="0" xfId="0">
      <alignment horizontal="center" vertical="center" wrapText="1"/>
    </xf>
    <xf numFmtId="164" fontId="9" fillId="0" borderId="1" pivotButton="0" quotePrefix="0" xfId="0"/>
    <xf numFmtId="164" fontId="10" fillId="0" borderId="1" pivotButton="0" quotePrefix="0" xfId="0"/>
    <xf numFmtId="0" fontId="6" fillId="8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7" fontId="7" fillId="4" borderId="2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3" fillId="0" borderId="1" pivotButton="0" quotePrefix="0" xfId="0"/>
    <xf numFmtId="167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12" fillId="0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166" fontId="14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right" vertical="center"/>
    </xf>
    <xf numFmtId="0" fontId="16" fillId="9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4" borderId="1" pivotButton="0" quotePrefix="0" xfId="0"/>
    <xf numFmtId="167" fontId="3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4" fontId="3" fillId="5" borderId="1" pivotButton="0" quotePrefix="0" xfId="0"/>
    <xf numFmtId="167" fontId="3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FFF5EEF8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DECEA"/>
        </patternFill>
      </fill>
    </dxf>
    <dxf>
      <font>
        <name val="Segoe UI"/>
        <b val="1"/>
        <color rgb="FF7B241C"/>
        <sz val="10"/>
      </font>
      <fill>
        <patternFill patternType="solid">
          <fgColor rgb="FFF1948A"/>
        </patternFill>
      </fill>
    </dxf>
    <dxf>
      <font>
        <name val="Segoe UI"/>
        <b val="1"/>
        <color rgb="FFB9770E"/>
        <sz val="10"/>
      </font>
      <fill>
        <patternFill patternType="solid">
          <fgColor rgb="FFFDEBD0"/>
        </patternFill>
      </fill>
    </dxf>
    <dxf>
      <font>
        <name val="Segoe UI"/>
        <b val="1"/>
        <color rgb="FF9A7D0A"/>
        <sz val="10"/>
      </font>
      <fill>
        <patternFill patternType="solid">
          <fgColor rgb="FFFCF3CF"/>
        </patternFill>
      </fill>
    </dxf>
    <dxf>
      <font>
        <name val="Segoe UI"/>
        <b val="1"/>
        <color rgb="FF196F3D"/>
        <sz val="10"/>
      </font>
      <fill>
        <patternFill patternType="solid">
          <fgColor rgb="FF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por Categoría (S/)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'4_Dashboard_DAMABIS'!C19</f>
            </strRef>
          </tx>
          <spPr>
            <a:solidFill>
              <a:srgbClr val="FF6B9D"/>
            </a:solidFill>
            <a:ln>
              <a:prstDash val="solid"/>
            </a:ln>
          </spPr>
          <cat>
            <numRef>
              <f>'4_Dashboard_DAMABIS'!$A$20:$A$29</f>
            </numRef>
          </cat>
          <val>
            <numRef>
              <f>'4_Dashboard_DAMABIS'!$C$20:$C$29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5 Productos · Ingresos (S/)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'4_Dashboard_DAMABIS'!J19</f>
            </strRef>
          </tx>
          <spPr>
            <a:solidFill>
              <a:srgbClr val="8E44AD"/>
            </a:solidFill>
            <a:ln>
              <a:prstDash val="solid"/>
            </a:ln>
          </spPr>
          <cat>
            <numRef>
              <f>'4_Dashboard_DAMABIS'!$G$20:$G$24</f>
            </numRef>
          </cat>
          <val>
            <numRef>
              <f>'4_Dashboard_DAMABIS'!$J$20:$J$24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Mix de Métodos de Pago</a:t>
            </a:r>
          </a:p>
        </rich>
      </tx>
    </title>
    <plotArea>
      <pieChart>
        <varyColors val="1"/>
        <ser>
          <idx val="0"/>
          <order val="0"/>
          <tx>
            <strRef>
              <f>'4_Dashboard_DAMABIS'!G27</f>
            </strRef>
          </tx>
          <spPr>
            <a:ln>
              <a:prstDash val="solid"/>
            </a:ln>
          </spPr>
          <cat>
            <numRef>
              <f>'4_Dashboard_DAMABIS'!$F$28:$F$32</f>
            </numRef>
          </cat>
          <val>
            <numRef>
              <f>'4_Dashboard_DAMABIS'!$G$28:$G$32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DAMABIS</author>
  </authors>
  <commentList>
    <comment ref="A10" authorId="0" shapeId="0">
      <text>
        <t>Supuesto: fechas de ejemplo ago-sep 2026. Reemplaza las 20 filas de muestra por tus compras reales.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8763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8763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876300" cy="876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50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32</row>
      <rowOff>0</rowOff>
    </from>
    <ext cx="50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32</row>
      <rowOff>0</rowOff>
    </from>
    <ext cx="39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0</row>
      <rowOff>0</rowOff>
    </from>
    <ext cx="87630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A569BD"/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4" customWidth="1" min="3" max="3"/>
    <col width="18" customWidth="1" min="4" max="4"/>
    <col width="3" customWidth="1" min="5" max="5"/>
    <col width="14" customWidth="1" min="6" max="6"/>
    <col width="16" customWidth="1" min="8" max="8"/>
    <col width="34" customWidth="1" min="9" max="9"/>
    <col width="13" customWidth="1" min="10" max="10"/>
    <col width="15" customWidth="1" min="11" max="11"/>
    <col width="15" customWidth="1" min="12" max="12"/>
    <col width="15" customWidth="1" min="13" max="13"/>
  </cols>
  <sheetData>
    <row r="1" ht="26" customHeight="1">
      <c r="A1" s="1" t="inlineStr">
        <is>
          <t>PARÁMETROS Y LISTAS MAESTRAS DAMABIS</t>
        </is>
      </c>
      <c r="H1" s="2" t="inlineStr">
        <is>
          <t>TABLA DE APOYO · RANKING DE PRODUCTOS (no editar)</t>
        </is>
      </c>
    </row>
    <row r="3">
      <c r="A3" s="3" t="inlineStr">
        <is>
          <t>Categorías</t>
        </is>
      </c>
      <c r="B3" s="3" t="inlineStr">
        <is>
          <t>Métodos de Pago</t>
        </is>
      </c>
      <c r="C3" s="3" t="inlineStr">
        <is>
          <t>Proveedores</t>
        </is>
      </c>
      <c r="D3" s="3" t="inlineStr">
        <is>
          <t>Estados de Stock</t>
        </is>
      </c>
      <c r="H3" s="4" t="inlineStr">
        <is>
          <t>Código/SKU</t>
        </is>
      </c>
      <c r="I3" s="4" t="inlineStr">
        <is>
          <t>Descripción</t>
        </is>
      </c>
      <c r="J3" s="4" t="inlineStr">
        <is>
          <t>Unidades Mes</t>
        </is>
      </c>
      <c r="K3" s="4" t="inlineStr">
        <is>
          <t>Ingresos Mes</t>
        </is>
      </c>
      <c r="L3" s="4" t="inlineStr">
        <is>
          <t>Ganancia Mes</t>
        </is>
      </c>
      <c r="M3" s="4" t="inlineStr">
        <is>
          <t>Índice Ranking</t>
        </is>
      </c>
    </row>
    <row r="4">
      <c r="A4" s="5" t="inlineStr">
        <is>
          <t>Libros</t>
        </is>
      </c>
      <c r="B4" s="5" t="inlineStr">
        <is>
          <t>Efectivo</t>
        </is>
      </c>
      <c r="C4" s="5" t="inlineStr">
        <is>
          <t>Distribuidora Lima Papel SAC</t>
        </is>
      </c>
      <c r="D4" s="5" t="inlineStr">
        <is>
          <t>🟢 OK</t>
        </is>
      </c>
      <c r="H4" s="6">
        <f>IF('2_Control_de_Stock'!$A$11="","",'2_Control_de_Stock'!$A$11)</f>
        <v/>
      </c>
      <c r="I4" s="6">
        <f>IF('2_Control_de_Stock'!$A$11="","",'2_Control_de_Stock'!$B$11)</f>
        <v/>
      </c>
      <c r="J4" s="7">
        <f>IF($H4="","",SUMIFS('3_Ventas_Diarias'!$E$11:$E$610,'3_Ventas_Diarias'!$C$11:$C$610,$H4,'3_Ventas_Diarias'!$A$11:$A$610,"&gt;="&amp;'4_Dashboard_DAMABIS'!$P$5,'3_Ventas_Diarias'!$A$11:$A$610,"&lt;="&amp;'4_Dashboard_DAMABIS'!$P$6))</f>
        <v/>
      </c>
      <c r="K4" s="8">
        <f>IF($H4="","",SUMIFS('3_Ventas_Diarias'!$G$11:$G$610,'3_Ventas_Diarias'!$C$11:$C$610,$H4,'3_Ventas_Diarias'!$A$11:$A$610,"&gt;="&amp;'4_Dashboard_DAMABIS'!$P$5,'3_Ventas_Diarias'!$A$11:$A$610,"&lt;="&amp;'4_Dashboard_DAMABIS'!$P$6))</f>
        <v/>
      </c>
      <c r="L4" s="8">
        <f>IF($H4="","",SUMIFS('3_Ventas_Diarias'!$J$11:$J$610,'3_Ventas_Diarias'!$C$11:$C$610,$H4,'3_Ventas_Diarias'!$A$11:$A$610,"&gt;="&amp;'4_Dashboard_DAMABIS'!$P$5,'3_Ventas_Diarias'!$A$11:$A$610,"&lt;="&amp;'4_Dashboard_DAMABIS'!$P$6))</f>
        <v/>
      </c>
      <c r="M4" s="9">
        <f>IF($H4="","",N($K4)+ROW()/1000000)</f>
        <v/>
      </c>
    </row>
    <row r="5">
      <c r="A5" s="10" t="inlineStr">
        <is>
          <t>Papelería</t>
        </is>
      </c>
      <c r="B5" s="10" t="inlineStr">
        <is>
          <t>Tarjeta</t>
        </is>
      </c>
      <c r="C5" s="10" t="inlineStr">
        <is>
          <t>Importadora Kawaii Perú EIRL</t>
        </is>
      </c>
      <c r="D5" s="10" t="inlineStr">
        <is>
          <t>🟡 VIGILAR</t>
        </is>
      </c>
      <c r="H5" s="11">
        <f>IF('2_Control_de_Stock'!$A$12="","",'2_Control_de_Stock'!$A$12)</f>
        <v/>
      </c>
      <c r="I5" s="11">
        <f>IF('2_Control_de_Stock'!$A$12="","",'2_Control_de_Stock'!$B$12)</f>
        <v/>
      </c>
      <c r="J5" s="12">
        <f>IF($H5="","",SUMIFS('3_Ventas_Diarias'!$E$11:$E$610,'3_Ventas_Diarias'!$C$11:$C$610,$H5,'3_Ventas_Diarias'!$A$11:$A$610,"&gt;="&amp;'4_Dashboard_DAMABIS'!$P$5,'3_Ventas_Diarias'!$A$11:$A$610,"&lt;="&amp;'4_Dashboard_DAMABIS'!$P$6))</f>
        <v/>
      </c>
      <c r="K5" s="13">
        <f>IF($H5="","",SUMIFS('3_Ventas_Diarias'!$G$11:$G$610,'3_Ventas_Diarias'!$C$11:$C$610,$H5,'3_Ventas_Diarias'!$A$11:$A$610,"&gt;="&amp;'4_Dashboard_DAMABIS'!$P$5,'3_Ventas_Diarias'!$A$11:$A$610,"&lt;="&amp;'4_Dashboard_DAMABIS'!$P$6))</f>
        <v/>
      </c>
      <c r="L5" s="13">
        <f>IF($H5="","",SUMIFS('3_Ventas_Diarias'!$J$11:$J$610,'3_Ventas_Diarias'!$C$11:$C$610,$H5,'3_Ventas_Diarias'!$A$11:$A$610,"&gt;="&amp;'4_Dashboard_DAMABIS'!$P$5,'3_Ventas_Diarias'!$A$11:$A$610,"&lt;="&amp;'4_Dashboard_DAMABIS'!$P$6))</f>
        <v/>
      </c>
      <c r="M5" s="14">
        <f>IF($H5="","",N($K5)+ROW()/1000000)</f>
        <v/>
      </c>
    </row>
    <row r="6">
      <c r="A6" s="5" t="inlineStr">
        <is>
          <t>Arte</t>
        </is>
      </c>
      <c r="B6" s="5" t="inlineStr">
        <is>
          <t>Transferencia</t>
        </is>
      </c>
      <c r="C6" s="5" t="inlineStr">
        <is>
          <t>Editorial Andina SAC</t>
        </is>
      </c>
      <c r="D6" s="5" t="inlineStr">
        <is>
          <t>🟠 REPONER</t>
        </is>
      </c>
      <c r="H6" s="6">
        <f>IF('2_Control_de_Stock'!$A$13="","",'2_Control_de_Stock'!$A$13)</f>
        <v/>
      </c>
      <c r="I6" s="6">
        <f>IF('2_Control_de_Stock'!$A$13="","",'2_Control_de_Stock'!$B$13)</f>
        <v/>
      </c>
      <c r="J6" s="7">
        <f>IF($H6="","",SUMIFS('3_Ventas_Diarias'!$E$11:$E$610,'3_Ventas_Diarias'!$C$11:$C$610,$H6,'3_Ventas_Diarias'!$A$11:$A$610,"&gt;="&amp;'4_Dashboard_DAMABIS'!$P$5,'3_Ventas_Diarias'!$A$11:$A$610,"&lt;="&amp;'4_Dashboard_DAMABIS'!$P$6))</f>
        <v/>
      </c>
      <c r="K6" s="8">
        <f>IF($H6="","",SUMIFS('3_Ventas_Diarias'!$G$11:$G$610,'3_Ventas_Diarias'!$C$11:$C$610,$H6,'3_Ventas_Diarias'!$A$11:$A$610,"&gt;="&amp;'4_Dashboard_DAMABIS'!$P$5,'3_Ventas_Diarias'!$A$11:$A$610,"&lt;="&amp;'4_Dashboard_DAMABIS'!$P$6))</f>
        <v/>
      </c>
      <c r="L6" s="8">
        <f>IF($H6="","",SUMIFS('3_Ventas_Diarias'!$J$11:$J$610,'3_Ventas_Diarias'!$C$11:$C$610,$H6,'3_Ventas_Diarias'!$A$11:$A$610,"&gt;="&amp;'4_Dashboard_DAMABIS'!$P$5,'3_Ventas_Diarias'!$A$11:$A$610,"&lt;="&amp;'4_Dashboard_DAMABIS'!$P$6))</f>
        <v/>
      </c>
      <c r="M6" s="9">
        <f>IF($H6="","",N($K6)+ROW()/1000000)</f>
        <v/>
      </c>
    </row>
    <row r="7">
      <c r="A7" s="10" t="inlineStr">
        <is>
          <t>Kawaii/Escolar</t>
        </is>
      </c>
      <c r="B7" s="10" t="inlineStr">
        <is>
          <t>Yape/Plin</t>
        </is>
      </c>
      <c r="C7" s="10" t="inlineStr">
        <is>
          <t>Arte &amp; Color Distribuciones</t>
        </is>
      </c>
      <c r="D7" s="10" t="inlineStr">
        <is>
          <t>🔴 SIN STOCK</t>
        </is>
      </c>
      <c r="H7" s="11">
        <f>IF('2_Control_de_Stock'!$A$14="","",'2_Control_de_Stock'!$A$14)</f>
        <v/>
      </c>
      <c r="I7" s="11">
        <f>IF('2_Control_de_Stock'!$A$14="","",'2_Control_de_Stock'!$B$14)</f>
        <v/>
      </c>
      <c r="J7" s="12">
        <f>IF($H7="","",SUMIFS('3_Ventas_Diarias'!$E$11:$E$610,'3_Ventas_Diarias'!$C$11:$C$610,$H7,'3_Ventas_Diarias'!$A$11:$A$610,"&gt;="&amp;'4_Dashboard_DAMABIS'!$P$5,'3_Ventas_Diarias'!$A$11:$A$610,"&lt;="&amp;'4_Dashboard_DAMABIS'!$P$6))</f>
        <v/>
      </c>
      <c r="K7" s="13">
        <f>IF($H7="","",SUMIFS('3_Ventas_Diarias'!$G$11:$G$610,'3_Ventas_Diarias'!$C$11:$C$610,$H7,'3_Ventas_Diarias'!$A$11:$A$610,"&gt;="&amp;'4_Dashboard_DAMABIS'!$P$5,'3_Ventas_Diarias'!$A$11:$A$610,"&lt;="&amp;'4_Dashboard_DAMABIS'!$P$6))</f>
        <v/>
      </c>
      <c r="L7" s="13">
        <f>IF($H7="","",SUMIFS('3_Ventas_Diarias'!$J$11:$J$610,'3_Ventas_Diarias'!$C$11:$C$610,$H7,'3_Ventas_Diarias'!$A$11:$A$610,"&gt;="&amp;'4_Dashboard_DAMABIS'!$P$5,'3_Ventas_Diarias'!$A$11:$A$610,"&lt;="&amp;'4_Dashboard_DAMABIS'!$P$6))</f>
        <v/>
      </c>
      <c r="M7" s="14">
        <f>IF($H7="","",N($K7)+ROW()/1000000)</f>
        <v/>
      </c>
    </row>
    <row r="8">
      <c r="A8" s="5" t="inlineStr">
        <is>
          <t>Escritura</t>
        </is>
      </c>
      <c r="B8" s="5" t="inlineStr">
        <is>
          <t>Crédito</t>
        </is>
      </c>
      <c r="C8" s="5" t="inlineStr">
        <is>
          <t>Faber Perú SA</t>
        </is>
      </c>
      <c r="H8" s="6">
        <f>IF('2_Control_de_Stock'!$A$15="","",'2_Control_de_Stock'!$A$15)</f>
        <v/>
      </c>
      <c r="I8" s="6">
        <f>IF('2_Control_de_Stock'!$A$15="","",'2_Control_de_Stock'!$B$15)</f>
        <v/>
      </c>
      <c r="J8" s="7">
        <f>IF($H8="","",SUMIFS('3_Ventas_Diarias'!$E$11:$E$610,'3_Ventas_Diarias'!$C$11:$C$610,$H8,'3_Ventas_Diarias'!$A$11:$A$610,"&gt;="&amp;'4_Dashboard_DAMABIS'!$P$5,'3_Ventas_Diarias'!$A$11:$A$610,"&lt;="&amp;'4_Dashboard_DAMABIS'!$P$6))</f>
        <v/>
      </c>
      <c r="K8" s="8">
        <f>IF($H8="","",SUMIFS('3_Ventas_Diarias'!$G$11:$G$610,'3_Ventas_Diarias'!$C$11:$C$610,$H8,'3_Ventas_Diarias'!$A$11:$A$610,"&gt;="&amp;'4_Dashboard_DAMABIS'!$P$5,'3_Ventas_Diarias'!$A$11:$A$610,"&lt;="&amp;'4_Dashboard_DAMABIS'!$P$6))</f>
        <v/>
      </c>
      <c r="L8" s="8">
        <f>IF($H8="","",SUMIFS('3_Ventas_Diarias'!$J$11:$J$610,'3_Ventas_Diarias'!$C$11:$C$610,$H8,'3_Ventas_Diarias'!$A$11:$A$610,"&gt;="&amp;'4_Dashboard_DAMABIS'!$P$5,'3_Ventas_Diarias'!$A$11:$A$610,"&lt;="&amp;'4_Dashboard_DAMABIS'!$P$6))</f>
        <v/>
      </c>
      <c r="M8" s="9">
        <f>IF($H8="","",N($K8)+ROW()/1000000)</f>
        <v/>
      </c>
    </row>
    <row r="9">
      <c r="A9" s="10" t="inlineStr">
        <is>
          <t>Cuadernos</t>
        </is>
      </c>
      <c r="C9" s="10" t="inlineStr">
        <is>
          <t>Mayorista Mesa Redonda</t>
        </is>
      </c>
      <c r="H9" s="11">
        <f>IF('2_Control_de_Stock'!$A$16="","",'2_Control_de_Stock'!$A$16)</f>
        <v/>
      </c>
      <c r="I9" s="11">
        <f>IF('2_Control_de_Stock'!$A$16="","",'2_Control_de_Stock'!$B$16)</f>
        <v/>
      </c>
      <c r="J9" s="12">
        <f>IF($H9="","",SUMIFS('3_Ventas_Diarias'!$E$11:$E$610,'3_Ventas_Diarias'!$C$11:$C$610,$H9,'3_Ventas_Diarias'!$A$11:$A$610,"&gt;="&amp;'4_Dashboard_DAMABIS'!$P$5,'3_Ventas_Diarias'!$A$11:$A$610,"&lt;="&amp;'4_Dashboard_DAMABIS'!$P$6))</f>
        <v/>
      </c>
      <c r="K9" s="13">
        <f>IF($H9="","",SUMIFS('3_Ventas_Diarias'!$G$11:$G$610,'3_Ventas_Diarias'!$C$11:$C$610,$H9,'3_Ventas_Diarias'!$A$11:$A$610,"&gt;="&amp;'4_Dashboard_DAMABIS'!$P$5,'3_Ventas_Diarias'!$A$11:$A$610,"&lt;="&amp;'4_Dashboard_DAMABIS'!$P$6))</f>
        <v/>
      </c>
      <c r="L9" s="13">
        <f>IF($H9="","",SUMIFS('3_Ventas_Diarias'!$J$11:$J$610,'3_Ventas_Diarias'!$C$11:$C$610,$H9,'3_Ventas_Diarias'!$A$11:$A$610,"&gt;="&amp;'4_Dashboard_DAMABIS'!$P$5,'3_Ventas_Diarias'!$A$11:$A$610,"&lt;="&amp;'4_Dashboard_DAMABIS'!$P$6))</f>
        <v/>
      </c>
      <c r="M9" s="14">
        <f>IF($H9="","",N($K9)+ROW()/1000000)</f>
        <v/>
      </c>
    </row>
    <row r="10">
      <c r="A10" s="5" t="inlineStr">
        <is>
          <t>Mochilas y Loncheras</t>
        </is>
      </c>
      <c r="H10" s="6">
        <f>IF('2_Control_de_Stock'!$A$17="","",'2_Control_de_Stock'!$A$17)</f>
        <v/>
      </c>
      <c r="I10" s="6">
        <f>IF('2_Control_de_Stock'!$A$17="","",'2_Control_de_Stock'!$B$17)</f>
        <v/>
      </c>
      <c r="J10" s="7">
        <f>IF($H10="","",SUMIFS('3_Ventas_Diarias'!$E$11:$E$610,'3_Ventas_Diarias'!$C$11:$C$610,$H10,'3_Ventas_Diarias'!$A$11:$A$610,"&gt;="&amp;'4_Dashboard_DAMABIS'!$P$5,'3_Ventas_Diarias'!$A$11:$A$610,"&lt;="&amp;'4_Dashboard_DAMABIS'!$P$6))</f>
        <v/>
      </c>
      <c r="K10" s="8">
        <f>IF($H10="","",SUMIFS('3_Ventas_Diarias'!$G$11:$G$610,'3_Ventas_Diarias'!$C$11:$C$610,$H10,'3_Ventas_Diarias'!$A$11:$A$610,"&gt;="&amp;'4_Dashboard_DAMABIS'!$P$5,'3_Ventas_Diarias'!$A$11:$A$610,"&lt;="&amp;'4_Dashboard_DAMABIS'!$P$6))</f>
        <v/>
      </c>
      <c r="L10" s="8">
        <f>IF($H10="","",SUMIFS('3_Ventas_Diarias'!$J$11:$J$610,'3_Ventas_Diarias'!$C$11:$C$610,$H10,'3_Ventas_Diarias'!$A$11:$A$610,"&gt;="&amp;'4_Dashboard_DAMABIS'!$P$5,'3_Ventas_Diarias'!$A$11:$A$610,"&lt;="&amp;'4_Dashboard_DAMABIS'!$P$6))</f>
        <v/>
      </c>
      <c r="M10" s="9">
        <f>IF($H10="","",N($K10)+ROW()/1000000)</f>
        <v/>
      </c>
    </row>
    <row r="11">
      <c r="A11" s="10" t="inlineStr">
        <is>
          <t>Tecnología</t>
        </is>
      </c>
      <c r="H11" s="11">
        <f>IF('2_Control_de_Stock'!$A$18="","",'2_Control_de_Stock'!$A$18)</f>
        <v/>
      </c>
      <c r="I11" s="11">
        <f>IF('2_Control_de_Stock'!$A$18="","",'2_Control_de_Stock'!$B$18)</f>
        <v/>
      </c>
      <c r="J11" s="12">
        <f>IF($H11="","",SUMIFS('3_Ventas_Diarias'!$E$11:$E$610,'3_Ventas_Diarias'!$C$11:$C$610,$H11,'3_Ventas_Diarias'!$A$11:$A$610,"&gt;="&amp;'4_Dashboard_DAMABIS'!$P$5,'3_Ventas_Diarias'!$A$11:$A$610,"&lt;="&amp;'4_Dashboard_DAMABIS'!$P$6))</f>
        <v/>
      </c>
      <c r="K11" s="13">
        <f>IF($H11="","",SUMIFS('3_Ventas_Diarias'!$G$11:$G$610,'3_Ventas_Diarias'!$C$11:$C$610,$H11,'3_Ventas_Diarias'!$A$11:$A$610,"&gt;="&amp;'4_Dashboard_DAMABIS'!$P$5,'3_Ventas_Diarias'!$A$11:$A$610,"&lt;="&amp;'4_Dashboard_DAMABIS'!$P$6))</f>
        <v/>
      </c>
      <c r="L11" s="13">
        <f>IF($H11="","",SUMIFS('3_Ventas_Diarias'!$J$11:$J$610,'3_Ventas_Diarias'!$C$11:$C$610,$H11,'3_Ventas_Diarias'!$A$11:$A$610,"&gt;="&amp;'4_Dashboard_DAMABIS'!$P$5,'3_Ventas_Diarias'!$A$11:$A$610,"&lt;="&amp;'4_Dashboard_DAMABIS'!$P$6))</f>
        <v/>
      </c>
      <c r="M11" s="14">
        <f>IF($H11="","",N($K11)+ROW()/1000000)</f>
        <v/>
      </c>
    </row>
    <row r="12">
      <c r="A12" s="5" t="inlineStr">
        <is>
          <t>Manualidades</t>
        </is>
      </c>
      <c r="H12" s="6">
        <f>IF('2_Control_de_Stock'!$A$19="","",'2_Control_de_Stock'!$A$19)</f>
        <v/>
      </c>
      <c r="I12" s="6">
        <f>IF('2_Control_de_Stock'!$A$19="","",'2_Control_de_Stock'!$B$19)</f>
        <v/>
      </c>
      <c r="J12" s="7">
        <f>IF($H12="","",SUMIFS('3_Ventas_Diarias'!$E$11:$E$610,'3_Ventas_Diarias'!$C$11:$C$610,$H12,'3_Ventas_Diarias'!$A$11:$A$610,"&gt;="&amp;'4_Dashboard_DAMABIS'!$P$5,'3_Ventas_Diarias'!$A$11:$A$610,"&lt;="&amp;'4_Dashboard_DAMABIS'!$P$6))</f>
        <v/>
      </c>
      <c r="K12" s="8">
        <f>IF($H12="","",SUMIFS('3_Ventas_Diarias'!$G$11:$G$610,'3_Ventas_Diarias'!$C$11:$C$610,$H12,'3_Ventas_Diarias'!$A$11:$A$610,"&gt;="&amp;'4_Dashboard_DAMABIS'!$P$5,'3_Ventas_Diarias'!$A$11:$A$610,"&lt;="&amp;'4_Dashboard_DAMABIS'!$P$6))</f>
        <v/>
      </c>
      <c r="L12" s="8">
        <f>IF($H12="","",SUMIFS('3_Ventas_Diarias'!$J$11:$J$610,'3_Ventas_Diarias'!$C$11:$C$610,$H12,'3_Ventas_Diarias'!$A$11:$A$610,"&gt;="&amp;'4_Dashboard_DAMABIS'!$P$5,'3_Ventas_Diarias'!$A$11:$A$610,"&lt;="&amp;'4_Dashboard_DAMABIS'!$P$6))</f>
        <v/>
      </c>
      <c r="M12" s="9">
        <f>IF($H12="","",N($K12)+ROW()/1000000)</f>
        <v/>
      </c>
    </row>
    <row r="13">
      <c r="A13" s="10" t="inlineStr">
        <is>
          <t>Oficina</t>
        </is>
      </c>
      <c r="H13" s="11">
        <f>IF('2_Control_de_Stock'!$A$20="","",'2_Control_de_Stock'!$A$20)</f>
        <v/>
      </c>
      <c r="I13" s="11">
        <f>IF('2_Control_de_Stock'!$A$20="","",'2_Control_de_Stock'!$B$20)</f>
        <v/>
      </c>
      <c r="J13" s="12">
        <f>IF($H13="","",SUMIFS('3_Ventas_Diarias'!$E$11:$E$610,'3_Ventas_Diarias'!$C$11:$C$610,$H13,'3_Ventas_Diarias'!$A$11:$A$610,"&gt;="&amp;'4_Dashboard_DAMABIS'!$P$5,'3_Ventas_Diarias'!$A$11:$A$610,"&lt;="&amp;'4_Dashboard_DAMABIS'!$P$6))</f>
        <v/>
      </c>
      <c r="K13" s="13">
        <f>IF($H13="","",SUMIFS('3_Ventas_Diarias'!$G$11:$G$610,'3_Ventas_Diarias'!$C$11:$C$610,$H13,'3_Ventas_Diarias'!$A$11:$A$610,"&gt;="&amp;'4_Dashboard_DAMABIS'!$P$5,'3_Ventas_Diarias'!$A$11:$A$610,"&lt;="&amp;'4_Dashboard_DAMABIS'!$P$6))</f>
        <v/>
      </c>
      <c r="L13" s="13">
        <f>IF($H13="","",SUMIFS('3_Ventas_Diarias'!$J$11:$J$610,'3_Ventas_Diarias'!$C$11:$C$610,$H13,'3_Ventas_Diarias'!$A$11:$A$610,"&gt;="&amp;'4_Dashboard_DAMABIS'!$P$5,'3_Ventas_Diarias'!$A$11:$A$610,"&lt;="&amp;'4_Dashboard_DAMABIS'!$P$6))</f>
        <v/>
      </c>
      <c r="M13" s="14">
        <f>IF($H13="","",N($K13)+ROW()/1000000)</f>
        <v/>
      </c>
    </row>
    <row r="14">
      <c r="H14" s="6">
        <f>IF('2_Control_de_Stock'!$A$21="","",'2_Control_de_Stock'!$A$21)</f>
        <v/>
      </c>
      <c r="I14" s="6">
        <f>IF('2_Control_de_Stock'!$A$21="","",'2_Control_de_Stock'!$B$21)</f>
        <v/>
      </c>
      <c r="J14" s="7">
        <f>IF($H14="","",SUMIFS('3_Ventas_Diarias'!$E$11:$E$610,'3_Ventas_Diarias'!$C$11:$C$610,$H14,'3_Ventas_Diarias'!$A$11:$A$610,"&gt;="&amp;'4_Dashboard_DAMABIS'!$P$5,'3_Ventas_Diarias'!$A$11:$A$610,"&lt;="&amp;'4_Dashboard_DAMABIS'!$P$6))</f>
        <v/>
      </c>
      <c r="K14" s="8">
        <f>IF($H14="","",SUMIFS('3_Ventas_Diarias'!$G$11:$G$610,'3_Ventas_Diarias'!$C$11:$C$610,$H14,'3_Ventas_Diarias'!$A$11:$A$610,"&gt;="&amp;'4_Dashboard_DAMABIS'!$P$5,'3_Ventas_Diarias'!$A$11:$A$610,"&lt;="&amp;'4_Dashboard_DAMABIS'!$P$6))</f>
        <v/>
      </c>
      <c r="L14" s="8">
        <f>IF($H14="","",SUMIFS('3_Ventas_Diarias'!$J$11:$J$610,'3_Ventas_Diarias'!$C$11:$C$610,$H14,'3_Ventas_Diarias'!$A$11:$A$610,"&gt;="&amp;'4_Dashboard_DAMABIS'!$P$5,'3_Ventas_Diarias'!$A$11:$A$610,"&lt;="&amp;'4_Dashboard_DAMABIS'!$P$6))</f>
        <v/>
      </c>
      <c r="M14" s="9">
        <f>IF($H14="","",N($K14)+ROW()/1000000)</f>
        <v/>
      </c>
    </row>
    <row r="15">
      <c r="H15" s="11">
        <f>IF('2_Control_de_Stock'!$A$22="","",'2_Control_de_Stock'!$A$22)</f>
        <v/>
      </c>
      <c r="I15" s="11">
        <f>IF('2_Control_de_Stock'!$A$22="","",'2_Control_de_Stock'!$B$22)</f>
        <v/>
      </c>
      <c r="J15" s="12">
        <f>IF($H15="","",SUMIFS('3_Ventas_Diarias'!$E$11:$E$610,'3_Ventas_Diarias'!$C$11:$C$610,$H15,'3_Ventas_Diarias'!$A$11:$A$610,"&gt;="&amp;'4_Dashboard_DAMABIS'!$P$5,'3_Ventas_Diarias'!$A$11:$A$610,"&lt;="&amp;'4_Dashboard_DAMABIS'!$P$6))</f>
        <v/>
      </c>
      <c r="K15" s="13">
        <f>IF($H15="","",SUMIFS('3_Ventas_Diarias'!$G$11:$G$610,'3_Ventas_Diarias'!$C$11:$C$610,$H15,'3_Ventas_Diarias'!$A$11:$A$610,"&gt;="&amp;'4_Dashboard_DAMABIS'!$P$5,'3_Ventas_Diarias'!$A$11:$A$610,"&lt;="&amp;'4_Dashboard_DAMABIS'!$P$6))</f>
        <v/>
      </c>
      <c r="L15" s="13">
        <f>IF($H15="","",SUMIFS('3_Ventas_Diarias'!$J$11:$J$610,'3_Ventas_Diarias'!$C$11:$C$610,$H15,'3_Ventas_Diarias'!$A$11:$A$610,"&gt;="&amp;'4_Dashboard_DAMABIS'!$P$5,'3_Ventas_Diarias'!$A$11:$A$610,"&lt;="&amp;'4_Dashboard_DAMABIS'!$P$6))</f>
        <v/>
      </c>
      <c r="M15" s="14">
        <f>IF($H15="","",N($K15)+ROW()/1000000)</f>
        <v/>
      </c>
    </row>
    <row r="16">
      <c r="H16" s="6">
        <f>IF('2_Control_de_Stock'!$A$23="","",'2_Control_de_Stock'!$A$23)</f>
        <v/>
      </c>
      <c r="I16" s="6">
        <f>IF('2_Control_de_Stock'!$A$23="","",'2_Control_de_Stock'!$B$23)</f>
        <v/>
      </c>
      <c r="J16" s="7">
        <f>IF($H16="","",SUMIFS('3_Ventas_Diarias'!$E$11:$E$610,'3_Ventas_Diarias'!$C$11:$C$610,$H16,'3_Ventas_Diarias'!$A$11:$A$610,"&gt;="&amp;'4_Dashboard_DAMABIS'!$P$5,'3_Ventas_Diarias'!$A$11:$A$610,"&lt;="&amp;'4_Dashboard_DAMABIS'!$P$6))</f>
        <v/>
      </c>
      <c r="K16" s="8">
        <f>IF($H16="","",SUMIFS('3_Ventas_Diarias'!$G$11:$G$610,'3_Ventas_Diarias'!$C$11:$C$610,$H16,'3_Ventas_Diarias'!$A$11:$A$610,"&gt;="&amp;'4_Dashboard_DAMABIS'!$P$5,'3_Ventas_Diarias'!$A$11:$A$610,"&lt;="&amp;'4_Dashboard_DAMABIS'!$P$6))</f>
        <v/>
      </c>
      <c r="L16" s="8">
        <f>IF($H16="","",SUMIFS('3_Ventas_Diarias'!$J$11:$J$610,'3_Ventas_Diarias'!$C$11:$C$610,$H16,'3_Ventas_Diarias'!$A$11:$A$610,"&gt;="&amp;'4_Dashboard_DAMABIS'!$P$5,'3_Ventas_Diarias'!$A$11:$A$610,"&lt;="&amp;'4_Dashboard_DAMABIS'!$P$6))</f>
        <v/>
      </c>
      <c r="M16" s="9">
        <f>IF($H16="","",N($K16)+ROW()/1000000)</f>
        <v/>
      </c>
    </row>
    <row r="17">
      <c r="H17" s="11">
        <f>IF('2_Control_de_Stock'!$A$24="","",'2_Control_de_Stock'!$A$24)</f>
        <v/>
      </c>
      <c r="I17" s="11">
        <f>IF('2_Control_de_Stock'!$A$24="","",'2_Control_de_Stock'!$B$24)</f>
        <v/>
      </c>
      <c r="J17" s="12">
        <f>IF($H17="","",SUMIFS('3_Ventas_Diarias'!$E$11:$E$610,'3_Ventas_Diarias'!$C$11:$C$610,$H17,'3_Ventas_Diarias'!$A$11:$A$610,"&gt;="&amp;'4_Dashboard_DAMABIS'!$P$5,'3_Ventas_Diarias'!$A$11:$A$610,"&lt;="&amp;'4_Dashboard_DAMABIS'!$P$6))</f>
        <v/>
      </c>
      <c r="K17" s="13">
        <f>IF($H17="","",SUMIFS('3_Ventas_Diarias'!$G$11:$G$610,'3_Ventas_Diarias'!$C$11:$C$610,$H17,'3_Ventas_Diarias'!$A$11:$A$610,"&gt;="&amp;'4_Dashboard_DAMABIS'!$P$5,'3_Ventas_Diarias'!$A$11:$A$610,"&lt;="&amp;'4_Dashboard_DAMABIS'!$P$6))</f>
        <v/>
      </c>
      <c r="L17" s="13">
        <f>IF($H17="","",SUMIFS('3_Ventas_Diarias'!$J$11:$J$610,'3_Ventas_Diarias'!$C$11:$C$610,$H17,'3_Ventas_Diarias'!$A$11:$A$610,"&gt;="&amp;'4_Dashboard_DAMABIS'!$P$5,'3_Ventas_Diarias'!$A$11:$A$610,"&lt;="&amp;'4_Dashboard_DAMABIS'!$P$6))</f>
        <v/>
      </c>
      <c r="M17" s="14">
        <f>IF($H17="","",N($K17)+ROW()/1000000)</f>
        <v/>
      </c>
    </row>
    <row r="18">
      <c r="H18" s="6">
        <f>IF('2_Control_de_Stock'!$A$25="","",'2_Control_de_Stock'!$A$25)</f>
        <v/>
      </c>
      <c r="I18" s="6">
        <f>IF('2_Control_de_Stock'!$A$25="","",'2_Control_de_Stock'!$B$25)</f>
        <v/>
      </c>
      <c r="J18" s="7">
        <f>IF($H18="","",SUMIFS('3_Ventas_Diarias'!$E$11:$E$610,'3_Ventas_Diarias'!$C$11:$C$610,$H18,'3_Ventas_Diarias'!$A$11:$A$610,"&gt;="&amp;'4_Dashboard_DAMABIS'!$P$5,'3_Ventas_Diarias'!$A$11:$A$610,"&lt;="&amp;'4_Dashboard_DAMABIS'!$P$6))</f>
        <v/>
      </c>
      <c r="K18" s="8">
        <f>IF($H18="","",SUMIFS('3_Ventas_Diarias'!$G$11:$G$610,'3_Ventas_Diarias'!$C$11:$C$610,$H18,'3_Ventas_Diarias'!$A$11:$A$610,"&gt;="&amp;'4_Dashboard_DAMABIS'!$P$5,'3_Ventas_Diarias'!$A$11:$A$610,"&lt;="&amp;'4_Dashboard_DAMABIS'!$P$6))</f>
        <v/>
      </c>
      <c r="L18" s="8">
        <f>IF($H18="","",SUMIFS('3_Ventas_Diarias'!$J$11:$J$610,'3_Ventas_Diarias'!$C$11:$C$610,$H18,'3_Ventas_Diarias'!$A$11:$A$610,"&gt;="&amp;'4_Dashboard_DAMABIS'!$P$5,'3_Ventas_Diarias'!$A$11:$A$610,"&lt;="&amp;'4_Dashboard_DAMABIS'!$P$6))</f>
        <v/>
      </c>
      <c r="M18" s="9">
        <f>IF($H18="","",N($K18)+ROW()/1000000)</f>
        <v/>
      </c>
    </row>
    <row r="19">
      <c r="H19" s="11">
        <f>IF('2_Control_de_Stock'!$A$26="","",'2_Control_de_Stock'!$A$26)</f>
        <v/>
      </c>
      <c r="I19" s="11">
        <f>IF('2_Control_de_Stock'!$A$26="","",'2_Control_de_Stock'!$B$26)</f>
        <v/>
      </c>
      <c r="J19" s="12">
        <f>IF($H19="","",SUMIFS('3_Ventas_Diarias'!$E$11:$E$610,'3_Ventas_Diarias'!$C$11:$C$610,$H19,'3_Ventas_Diarias'!$A$11:$A$610,"&gt;="&amp;'4_Dashboard_DAMABIS'!$P$5,'3_Ventas_Diarias'!$A$11:$A$610,"&lt;="&amp;'4_Dashboard_DAMABIS'!$P$6))</f>
        <v/>
      </c>
      <c r="K19" s="13">
        <f>IF($H19="","",SUMIFS('3_Ventas_Diarias'!$G$11:$G$610,'3_Ventas_Diarias'!$C$11:$C$610,$H19,'3_Ventas_Diarias'!$A$11:$A$610,"&gt;="&amp;'4_Dashboard_DAMABIS'!$P$5,'3_Ventas_Diarias'!$A$11:$A$610,"&lt;="&amp;'4_Dashboard_DAMABIS'!$P$6))</f>
        <v/>
      </c>
      <c r="L19" s="13">
        <f>IF($H19="","",SUMIFS('3_Ventas_Diarias'!$J$11:$J$610,'3_Ventas_Diarias'!$C$11:$C$610,$H19,'3_Ventas_Diarias'!$A$11:$A$610,"&gt;="&amp;'4_Dashboard_DAMABIS'!$P$5,'3_Ventas_Diarias'!$A$11:$A$610,"&lt;="&amp;'4_Dashboard_DAMABIS'!$P$6))</f>
        <v/>
      </c>
      <c r="M19" s="14">
        <f>IF($H19="","",N($K19)+ROW()/1000000)</f>
        <v/>
      </c>
    </row>
    <row r="20">
      <c r="H20" s="6">
        <f>IF('2_Control_de_Stock'!$A$27="","",'2_Control_de_Stock'!$A$27)</f>
        <v/>
      </c>
      <c r="I20" s="6">
        <f>IF('2_Control_de_Stock'!$A$27="","",'2_Control_de_Stock'!$B$27)</f>
        <v/>
      </c>
      <c r="J20" s="7">
        <f>IF($H20="","",SUMIFS('3_Ventas_Diarias'!$E$11:$E$610,'3_Ventas_Diarias'!$C$11:$C$610,$H20,'3_Ventas_Diarias'!$A$11:$A$610,"&gt;="&amp;'4_Dashboard_DAMABIS'!$P$5,'3_Ventas_Diarias'!$A$11:$A$610,"&lt;="&amp;'4_Dashboard_DAMABIS'!$P$6))</f>
        <v/>
      </c>
      <c r="K20" s="8">
        <f>IF($H20="","",SUMIFS('3_Ventas_Diarias'!$G$11:$G$610,'3_Ventas_Diarias'!$C$11:$C$610,$H20,'3_Ventas_Diarias'!$A$11:$A$610,"&gt;="&amp;'4_Dashboard_DAMABIS'!$P$5,'3_Ventas_Diarias'!$A$11:$A$610,"&lt;="&amp;'4_Dashboard_DAMABIS'!$P$6))</f>
        <v/>
      </c>
      <c r="L20" s="8">
        <f>IF($H20="","",SUMIFS('3_Ventas_Diarias'!$J$11:$J$610,'3_Ventas_Diarias'!$C$11:$C$610,$H20,'3_Ventas_Diarias'!$A$11:$A$610,"&gt;="&amp;'4_Dashboard_DAMABIS'!$P$5,'3_Ventas_Diarias'!$A$11:$A$610,"&lt;="&amp;'4_Dashboard_DAMABIS'!$P$6))</f>
        <v/>
      </c>
      <c r="M20" s="9">
        <f>IF($H20="","",N($K20)+ROW()/1000000)</f>
        <v/>
      </c>
    </row>
    <row r="21">
      <c r="H21" s="11">
        <f>IF('2_Control_de_Stock'!$A$28="","",'2_Control_de_Stock'!$A$28)</f>
        <v/>
      </c>
      <c r="I21" s="11">
        <f>IF('2_Control_de_Stock'!$A$28="","",'2_Control_de_Stock'!$B$28)</f>
        <v/>
      </c>
      <c r="J21" s="12">
        <f>IF($H21="","",SUMIFS('3_Ventas_Diarias'!$E$11:$E$610,'3_Ventas_Diarias'!$C$11:$C$610,$H21,'3_Ventas_Diarias'!$A$11:$A$610,"&gt;="&amp;'4_Dashboard_DAMABIS'!$P$5,'3_Ventas_Diarias'!$A$11:$A$610,"&lt;="&amp;'4_Dashboard_DAMABIS'!$P$6))</f>
        <v/>
      </c>
      <c r="K21" s="13">
        <f>IF($H21="","",SUMIFS('3_Ventas_Diarias'!$G$11:$G$610,'3_Ventas_Diarias'!$C$11:$C$610,$H21,'3_Ventas_Diarias'!$A$11:$A$610,"&gt;="&amp;'4_Dashboard_DAMABIS'!$P$5,'3_Ventas_Diarias'!$A$11:$A$610,"&lt;="&amp;'4_Dashboard_DAMABIS'!$P$6))</f>
        <v/>
      </c>
      <c r="L21" s="13">
        <f>IF($H21="","",SUMIFS('3_Ventas_Diarias'!$J$11:$J$610,'3_Ventas_Diarias'!$C$11:$C$610,$H21,'3_Ventas_Diarias'!$A$11:$A$610,"&gt;="&amp;'4_Dashboard_DAMABIS'!$P$5,'3_Ventas_Diarias'!$A$11:$A$610,"&lt;="&amp;'4_Dashboard_DAMABIS'!$P$6))</f>
        <v/>
      </c>
      <c r="M21" s="14">
        <f>IF($H21="","",N($K21)+ROW()/1000000)</f>
        <v/>
      </c>
    </row>
    <row r="22">
      <c r="H22" s="6">
        <f>IF('2_Control_de_Stock'!$A$29="","",'2_Control_de_Stock'!$A$29)</f>
        <v/>
      </c>
      <c r="I22" s="6">
        <f>IF('2_Control_de_Stock'!$A$29="","",'2_Control_de_Stock'!$B$29)</f>
        <v/>
      </c>
      <c r="J22" s="7">
        <f>IF($H22="","",SUMIFS('3_Ventas_Diarias'!$E$11:$E$610,'3_Ventas_Diarias'!$C$11:$C$610,$H22,'3_Ventas_Diarias'!$A$11:$A$610,"&gt;="&amp;'4_Dashboard_DAMABIS'!$P$5,'3_Ventas_Diarias'!$A$11:$A$610,"&lt;="&amp;'4_Dashboard_DAMABIS'!$P$6))</f>
        <v/>
      </c>
      <c r="K22" s="8">
        <f>IF($H22="","",SUMIFS('3_Ventas_Diarias'!$G$11:$G$610,'3_Ventas_Diarias'!$C$11:$C$610,$H22,'3_Ventas_Diarias'!$A$11:$A$610,"&gt;="&amp;'4_Dashboard_DAMABIS'!$P$5,'3_Ventas_Diarias'!$A$11:$A$610,"&lt;="&amp;'4_Dashboard_DAMABIS'!$P$6))</f>
        <v/>
      </c>
      <c r="L22" s="8">
        <f>IF($H22="","",SUMIFS('3_Ventas_Diarias'!$J$11:$J$610,'3_Ventas_Diarias'!$C$11:$C$610,$H22,'3_Ventas_Diarias'!$A$11:$A$610,"&gt;="&amp;'4_Dashboard_DAMABIS'!$P$5,'3_Ventas_Diarias'!$A$11:$A$610,"&lt;="&amp;'4_Dashboard_DAMABIS'!$P$6))</f>
        <v/>
      </c>
      <c r="M22" s="9">
        <f>IF($H22="","",N($K22)+ROW()/1000000)</f>
        <v/>
      </c>
    </row>
    <row r="23">
      <c r="H23" s="11">
        <f>IF('2_Control_de_Stock'!$A$30="","",'2_Control_de_Stock'!$A$30)</f>
        <v/>
      </c>
      <c r="I23" s="11">
        <f>IF('2_Control_de_Stock'!$A$30="","",'2_Control_de_Stock'!$B$30)</f>
        <v/>
      </c>
      <c r="J23" s="12">
        <f>IF($H23="","",SUMIFS('3_Ventas_Diarias'!$E$11:$E$610,'3_Ventas_Diarias'!$C$11:$C$610,$H23,'3_Ventas_Diarias'!$A$11:$A$610,"&gt;="&amp;'4_Dashboard_DAMABIS'!$P$5,'3_Ventas_Diarias'!$A$11:$A$610,"&lt;="&amp;'4_Dashboard_DAMABIS'!$P$6))</f>
        <v/>
      </c>
      <c r="K23" s="13">
        <f>IF($H23="","",SUMIFS('3_Ventas_Diarias'!$G$11:$G$610,'3_Ventas_Diarias'!$C$11:$C$610,$H23,'3_Ventas_Diarias'!$A$11:$A$610,"&gt;="&amp;'4_Dashboard_DAMABIS'!$P$5,'3_Ventas_Diarias'!$A$11:$A$610,"&lt;="&amp;'4_Dashboard_DAMABIS'!$P$6))</f>
        <v/>
      </c>
      <c r="L23" s="13">
        <f>IF($H23="","",SUMIFS('3_Ventas_Diarias'!$J$11:$J$610,'3_Ventas_Diarias'!$C$11:$C$610,$H23,'3_Ventas_Diarias'!$A$11:$A$610,"&gt;="&amp;'4_Dashboard_DAMABIS'!$P$5,'3_Ventas_Diarias'!$A$11:$A$610,"&lt;="&amp;'4_Dashboard_DAMABIS'!$P$6))</f>
        <v/>
      </c>
      <c r="M23" s="14">
        <f>IF($H23="","",N($K23)+ROW()/1000000)</f>
        <v/>
      </c>
    </row>
    <row r="24">
      <c r="H24" s="6">
        <f>IF('2_Control_de_Stock'!$A$31="","",'2_Control_de_Stock'!$A$31)</f>
        <v/>
      </c>
      <c r="I24" s="6">
        <f>IF('2_Control_de_Stock'!$A$31="","",'2_Control_de_Stock'!$B$31)</f>
        <v/>
      </c>
      <c r="J24" s="7">
        <f>IF($H24="","",SUMIFS('3_Ventas_Diarias'!$E$11:$E$610,'3_Ventas_Diarias'!$C$11:$C$610,$H24,'3_Ventas_Diarias'!$A$11:$A$610,"&gt;="&amp;'4_Dashboard_DAMABIS'!$P$5,'3_Ventas_Diarias'!$A$11:$A$610,"&lt;="&amp;'4_Dashboard_DAMABIS'!$P$6))</f>
        <v/>
      </c>
      <c r="K24" s="8">
        <f>IF($H24="","",SUMIFS('3_Ventas_Diarias'!$G$11:$G$610,'3_Ventas_Diarias'!$C$11:$C$610,$H24,'3_Ventas_Diarias'!$A$11:$A$610,"&gt;="&amp;'4_Dashboard_DAMABIS'!$P$5,'3_Ventas_Diarias'!$A$11:$A$610,"&lt;="&amp;'4_Dashboard_DAMABIS'!$P$6))</f>
        <v/>
      </c>
      <c r="L24" s="8">
        <f>IF($H24="","",SUMIFS('3_Ventas_Diarias'!$J$11:$J$610,'3_Ventas_Diarias'!$C$11:$C$610,$H24,'3_Ventas_Diarias'!$A$11:$A$610,"&gt;="&amp;'4_Dashboard_DAMABIS'!$P$5,'3_Ventas_Diarias'!$A$11:$A$610,"&lt;="&amp;'4_Dashboard_DAMABIS'!$P$6))</f>
        <v/>
      </c>
      <c r="M24" s="9">
        <f>IF($H24="","",N($K24)+ROW()/1000000)</f>
        <v/>
      </c>
    </row>
    <row r="25">
      <c r="H25" s="11">
        <f>IF('2_Control_de_Stock'!$A$32="","",'2_Control_de_Stock'!$A$32)</f>
        <v/>
      </c>
      <c r="I25" s="11">
        <f>IF('2_Control_de_Stock'!$A$32="","",'2_Control_de_Stock'!$B$32)</f>
        <v/>
      </c>
      <c r="J25" s="12">
        <f>IF($H25="","",SUMIFS('3_Ventas_Diarias'!$E$11:$E$610,'3_Ventas_Diarias'!$C$11:$C$610,$H25,'3_Ventas_Diarias'!$A$11:$A$610,"&gt;="&amp;'4_Dashboard_DAMABIS'!$P$5,'3_Ventas_Diarias'!$A$11:$A$610,"&lt;="&amp;'4_Dashboard_DAMABIS'!$P$6))</f>
        <v/>
      </c>
      <c r="K25" s="13">
        <f>IF($H25="","",SUMIFS('3_Ventas_Diarias'!$G$11:$G$610,'3_Ventas_Diarias'!$C$11:$C$610,$H25,'3_Ventas_Diarias'!$A$11:$A$610,"&gt;="&amp;'4_Dashboard_DAMABIS'!$P$5,'3_Ventas_Diarias'!$A$11:$A$610,"&lt;="&amp;'4_Dashboard_DAMABIS'!$P$6))</f>
        <v/>
      </c>
      <c r="L25" s="13">
        <f>IF($H25="","",SUMIFS('3_Ventas_Diarias'!$J$11:$J$610,'3_Ventas_Diarias'!$C$11:$C$610,$H25,'3_Ventas_Diarias'!$A$11:$A$610,"&gt;="&amp;'4_Dashboard_DAMABIS'!$P$5,'3_Ventas_Diarias'!$A$11:$A$610,"&lt;="&amp;'4_Dashboard_DAMABIS'!$P$6))</f>
        <v/>
      </c>
      <c r="M25" s="14">
        <f>IF($H25="","",N($K25)+ROW()/1000000)</f>
        <v/>
      </c>
    </row>
    <row r="26">
      <c r="H26" s="6">
        <f>IF('2_Control_de_Stock'!$A$33="","",'2_Control_de_Stock'!$A$33)</f>
        <v/>
      </c>
      <c r="I26" s="6">
        <f>IF('2_Control_de_Stock'!$A$33="","",'2_Control_de_Stock'!$B$33)</f>
        <v/>
      </c>
      <c r="J26" s="7">
        <f>IF($H26="","",SUMIFS('3_Ventas_Diarias'!$E$11:$E$610,'3_Ventas_Diarias'!$C$11:$C$610,$H26,'3_Ventas_Diarias'!$A$11:$A$610,"&gt;="&amp;'4_Dashboard_DAMABIS'!$P$5,'3_Ventas_Diarias'!$A$11:$A$610,"&lt;="&amp;'4_Dashboard_DAMABIS'!$P$6))</f>
        <v/>
      </c>
      <c r="K26" s="8">
        <f>IF($H26="","",SUMIFS('3_Ventas_Diarias'!$G$11:$G$610,'3_Ventas_Diarias'!$C$11:$C$610,$H26,'3_Ventas_Diarias'!$A$11:$A$610,"&gt;="&amp;'4_Dashboard_DAMABIS'!$P$5,'3_Ventas_Diarias'!$A$11:$A$610,"&lt;="&amp;'4_Dashboard_DAMABIS'!$P$6))</f>
        <v/>
      </c>
      <c r="L26" s="8">
        <f>IF($H26="","",SUMIFS('3_Ventas_Diarias'!$J$11:$J$610,'3_Ventas_Diarias'!$C$11:$C$610,$H26,'3_Ventas_Diarias'!$A$11:$A$610,"&gt;="&amp;'4_Dashboard_DAMABIS'!$P$5,'3_Ventas_Diarias'!$A$11:$A$610,"&lt;="&amp;'4_Dashboard_DAMABIS'!$P$6))</f>
        <v/>
      </c>
      <c r="M26" s="9">
        <f>IF($H26="","",N($K26)+ROW()/1000000)</f>
        <v/>
      </c>
    </row>
    <row r="27">
      <c r="H27" s="11">
        <f>IF('2_Control_de_Stock'!$A$34="","",'2_Control_de_Stock'!$A$34)</f>
        <v/>
      </c>
      <c r="I27" s="11">
        <f>IF('2_Control_de_Stock'!$A$34="","",'2_Control_de_Stock'!$B$34)</f>
        <v/>
      </c>
      <c r="J27" s="12">
        <f>IF($H27="","",SUMIFS('3_Ventas_Diarias'!$E$11:$E$610,'3_Ventas_Diarias'!$C$11:$C$610,$H27,'3_Ventas_Diarias'!$A$11:$A$610,"&gt;="&amp;'4_Dashboard_DAMABIS'!$P$5,'3_Ventas_Diarias'!$A$11:$A$610,"&lt;="&amp;'4_Dashboard_DAMABIS'!$P$6))</f>
        <v/>
      </c>
      <c r="K27" s="13">
        <f>IF($H27="","",SUMIFS('3_Ventas_Diarias'!$G$11:$G$610,'3_Ventas_Diarias'!$C$11:$C$610,$H27,'3_Ventas_Diarias'!$A$11:$A$610,"&gt;="&amp;'4_Dashboard_DAMABIS'!$P$5,'3_Ventas_Diarias'!$A$11:$A$610,"&lt;="&amp;'4_Dashboard_DAMABIS'!$P$6))</f>
        <v/>
      </c>
      <c r="L27" s="13">
        <f>IF($H27="","",SUMIFS('3_Ventas_Diarias'!$J$11:$J$610,'3_Ventas_Diarias'!$C$11:$C$610,$H27,'3_Ventas_Diarias'!$A$11:$A$610,"&gt;="&amp;'4_Dashboard_DAMABIS'!$P$5,'3_Ventas_Diarias'!$A$11:$A$610,"&lt;="&amp;'4_Dashboard_DAMABIS'!$P$6))</f>
        <v/>
      </c>
      <c r="M27" s="14">
        <f>IF($H27="","",N($K27)+ROW()/1000000)</f>
        <v/>
      </c>
    </row>
    <row r="28">
      <c r="H28" s="6">
        <f>IF('2_Control_de_Stock'!$A$35="","",'2_Control_de_Stock'!$A$35)</f>
        <v/>
      </c>
      <c r="I28" s="6">
        <f>IF('2_Control_de_Stock'!$A$35="","",'2_Control_de_Stock'!$B$35)</f>
        <v/>
      </c>
      <c r="J28" s="7">
        <f>IF($H28="","",SUMIFS('3_Ventas_Diarias'!$E$11:$E$610,'3_Ventas_Diarias'!$C$11:$C$610,$H28,'3_Ventas_Diarias'!$A$11:$A$610,"&gt;="&amp;'4_Dashboard_DAMABIS'!$P$5,'3_Ventas_Diarias'!$A$11:$A$610,"&lt;="&amp;'4_Dashboard_DAMABIS'!$P$6))</f>
        <v/>
      </c>
      <c r="K28" s="8">
        <f>IF($H28="","",SUMIFS('3_Ventas_Diarias'!$G$11:$G$610,'3_Ventas_Diarias'!$C$11:$C$610,$H28,'3_Ventas_Diarias'!$A$11:$A$610,"&gt;="&amp;'4_Dashboard_DAMABIS'!$P$5,'3_Ventas_Diarias'!$A$11:$A$610,"&lt;="&amp;'4_Dashboard_DAMABIS'!$P$6))</f>
        <v/>
      </c>
      <c r="L28" s="8">
        <f>IF($H28="","",SUMIFS('3_Ventas_Diarias'!$J$11:$J$610,'3_Ventas_Diarias'!$C$11:$C$610,$H28,'3_Ventas_Diarias'!$A$11:$A$610,"&gt;="&amp;'4_Dashboard_DAMABIS'!$P$5,'3_Ventas_Diarias'!$A$11:$A$610,"&lt;="&amp;'4_Dashboard_DAMABIS'!$P$6))</f>
        <v/>
      </c>
      <c r="M28" s="9">
        <f>IF($H28="","",N($K28)+ROW()/1000000)</f>
        <v/>
      </c>
    </row>
    <row r="29">
      <c r="H29" s="11">
        <f>IF('2_Control_de_Stock'!$A$36="","",'2_Control_de_Stock'!$A$36)</f>
        <v/>
      </c>
      <c r="I29" s="11">
        <f>IF('2_Control_de_Stock'!$A$36="","",'2_Control_de_Stock'!$B$36)</f>
        <v/>
      </c>
      <c r="J29" s="12">
        <f>IF($H29="","",SUMIFS('3_Ventas_Diarias'!$E$11:$E$610,'3_Ventas_Diarias'!$C$11:$C$610,$H29,'3_Ventas_Diarias'!$A$11:$A$610,"&gt;="&amp;'4_Dashboard_DAMABIS'!$P$5,'3_Ventas_Diarias'!$A$11:$A$610,"&lt;="&amp;'4_Dashboard_DAMABIS'!$P$6))</f>
        <v/>
      </c>
      <c r="K29" s="13">
        <f>IF($H29="","",SUMIFS('3_Ventas_Diarias'!$G$11:$G$610,'3_Ventas_Diarias'!$C$11:$C$610,$H29,'3_Ventas_Diarias'!$A$11:$A$610,"&gt;="&amp;'4_Dashboard_DAMABIS'!$P$5,'3_Ventas_Diarias'!$A$11:$A$610,"&lt;="&amp;'4_Dashboard_DAMABIS'!$P$6))</f>
        <v/>
      </c>
      <c r="L29" s="13">
        <f>IF($H29="","",SUMIFS('3_Ventas_Diarias'!$J$11:$J$610,'3_Ventas_Diarias'!$C$11:$C$610,$H29,'3_Ventas_Diarias'!$A$11:$A$610,"&gt;="&amp;'4_Dashboard_DAMABIS'!$P$5,'3_Ventas_Diarias'!$A$11:$A$610,"&lt;="&amp;'4_Dashboard_DAMABIS'!$P$6))</f>
        <v/>
      </c>
      <c r="M29" s="14">
        <f>IF($H29="","",N($K29)+ROW()/1000000)</f>
        <v/>
      </c>
    </row>
    <row r="30">
      <c r="H30" s="6">
        <f>IF('2_Control_de_Stock'!$A$37="","",'2_Control_de_Stock'!$A$37)</f>
        <v/>
      </c>
      <c r="I30" s="6">
        <f>IF('2_Control_de_Stock'!$A$37="","",'2_Control_de_Stock'!$B$37)</f>
        <v/>
      </c>
      <c r="J30" s="7">
        <f>IF($H30="","",SUMIFS('3_Ventas_Diarias'!$E$11:$E$610,'3_Ventas_Diarias'!$C$11:$C$610,$H30,'3_Ventas_Diarias'!$A$11:$A$610,"&gt;="&amp;'4_Dashboard_DAMABIS'!$P$5,'3_Ventas_Diarias'!$A$11:$A$610,"&lt;="&amp;'4_Dashboard_DAMABIS'!$P$6))</f>
        <v/>
      </c>
      <c r="K30" s="8">
        <f>IF($H30="","",SUMIFS('3_Ventas_Diarias'!$G$11:$G$610,'3_Ventas_Diarias'!$C$11:$C$610,$H30,'3_Ventas_Diarias'!$A$11:$A$610,"&gt;="&amp;'4_Dashboard_DAMABIS'!$P$5,'3_Ventas_Diarias'!$A$11:$A$610,"&lt;="&amp;'4_Dashboard_DAMABIS'!$P$6))</f>
        <v/>
      </c>
      <c r="L30" s="8">
        <f>IF($H30="","",SUMIFS('3_Ventas_Diarias'!$J$11:$J$610,'3_Ventas_Diarias'!$C$11:$C$610,$H30,'3_Ventas_Diarias'!$A$11:$A$610,"&gt;="&amp;'4_Dashboard_DAMABIS'!$P$5,'3_Ventas_Diarias'!$A$11:$A$610,"&lt;="&amp;'4_Dashboard_DAMABIS'!$P$6))</f>
        <v/>
      </c>
      <c r="M30" s="9">
        <f>IF($H30="","",N($K30)+ROW()/1000000)</f>
        <v/>
      </c>
    </row>
    <row r="31">
      <c r="H31" s="11">
        <f>IF('2_Control_de_Stock'!$A$38="","",'2_Control_de_Stock'!$A$38)</f>
        <v/>
      </c>
      <c r="I31" s="11">
        <f>IF('2_Control_de_Stock'!$A$38="","",'2_Control_de_Stock'!$B$38)</f>
        <v/>
      </c>
      <c r="J31" s="12">
        <f>IF($H31="","",SUMIFS('3_Ventas_Diarias'!$E$11:$E$610,'3_Ventas_Diarias'!$C$11:$C$610,$H31,'3_Ventas_Diarias'!$A$11:$A$610,"&gt;="&amp;'4_Dashboard_DAMABIS'!$P$5,'3_Ventas_Diarias'!$A$11:$A$610,"&lt;="&amp;'4_Dashboard_DAMABIS'!$P$6))</f>
        <v/>
      </c>
      <c r="K31" s="13">
        <f>IF($H31="","",SUMIFS('3_Ventas_Diarias'!$G$11:$G$610,'3_Ventas_Diarias'!$C$11:$C$610,$H31,'3_Ventas_Diarias'!$A$11:$A$610,"&gt;="&amp;'4_Dashboard_DAMABIS'!$P$5,'3_Ventas_Diarias'!$A$11:$A$610,"&lt;="&amp;'4_Dashboard_DAMABIS'!$P$6))</f>
        <v/>
      </c>
      <c r="L31" s="13">
        <f>IF($H31="","",SUMIFS('3_Ventas_Diarias'!$J$11:$J$610,'3_Ventas_Diarias'!$C$11:$C$610,$H31,'3_Ventas_Diarias'!$A$11:$A$610,"&gt;="&amp;'4_Dashboard_DAMABIS'!$P$5,'3_Ventas_Diarias'!$A$11:$A$610,"&lt;="&amp;'4_Dashboard_DAMABIS'!$P$6))</f>
        <v/>
      </c>
      <c r="M31" s="14">
        <f>IF($H31="","",N($K31)+ROW()/1000000)</f>
        <v/>
      </c>
    </row>
    <row r="32">
      <c r="H32" s="6">
        <f>IF('2_Control_de_Stock'!$A$39="","",'2_Control_de_Stock'!$A$39)</f>
        <v/>
      </c>
      <c r="I32" s="6">
        <f>IF('2_Control_de_Stock'!$A$39="","",'2_Control_de_Stock'!$B$39)</f>
        <v/>
      </c>
      <c r="J32" s="7">
        <f>IF($H32="","",SUMIFS('3_Ventas_Diarias'!$E$11:$E$610,'3_Ventas_Diarias'!$C$11:$C$610,$H32,'3_Ventas_Diarias'!$A$11:$A$610,"&gt;="&amp;'4_Dashboard_DAMABIS'!$P$5,'3_Ventas_Diarias'!$A$11:$A$610,"&lt;="&amp;'4_Dashboard_DAMABIS'!$P$6))</f>
        <v/>
      </c>
      <c r="K32" s="8">
        <f>IF($H32="","",SUMIFS('3_Ventas_Diarias'!$G$11:$G$610,'3_Ventas_Diarias'!$C$11:$C$610,$H32,'3_Ventas_Diarias'!$A$11:$A$610,"&gt;="&amp;'4_Dashboard_DAMABIS'!$P$5,'3_Ventas_Diarias'!$A$11:$A$610,"&lt;="&amp;'4_Dashboard_DAMABIS'!$P$6))</f>
        <v/>
      </c>
      <c r="L32" s="8">
        <f>IF($H32="","",SUMIFS('3_Ventas_Diarias'!$J$11:$J$610,'3_Ventas_Diarias'!$C$11:$C$610,$H32,'3_Ventas_Diarias'!$A$11:$A$610,"&gt;="&amp;'4_Dashboard_DAMABIS'!$P$5,'3_Ventas_Diarias'!$A$11:$A$610,"&lt;="&amp;'4_Dashboard_DAMABIS'!$P$6))</f>
        <v/>
      </c>
      <c r="M32" s="9">
        <f>IF($H32="","",N($K32)+ROW()/1000000)</f>
        <v/>
      </c>
    </row>
    <row r="33">
      <c r="H33" s="11">
        <f>IF('2_Control_de_Stock'!$A$40="","",'2_Control_de_Stock'!$A$40)</f>
        <v/>
      </c>
      <c r="I33" s="11">
        <f>IF('2_Control_de_Stock'!$A$40="","",'2_Control_de_Stock'!$B$40)</f>
        <v/>
      </c>
      <c r="J33" s="12">
        <f>IF($H33="","",SUMIFS('3_Ventas_Diarias'!$E$11:$E$610,'3_Ventas_Diarias'!$C$11:$C$610,$H33,'3_Ventas_Diarias'!$A$11:$A$610,"&gt;="&amp;'4_Dashboard_DAMABIS'!$P$5,'3_Ventas_Diarias'!$A$11:$A$610,"&lt;="&amp;'4_Dashboard_DAMABIS'!$P$6))</f>
        <v/>
      </c>
      <c r="K33" s="13">
        <f>IF($H33="","",SUMIFS('3_Ventas_Diarias'!$G$11:$G$610,'3_Ventas_Diarias'!$C$11:$C$610,$H33,'3_Ventas_Diarias'!$A$11:$A$610,"&gt;="&amp;'4_Dashboard_DAMABIS'!$P$5,'3_Ventas_Diarias'!$A$11:$A$610,"&lt;="&amp;'4_Dashboard_DAMABIS'!$P$6))</f>
        <v/>
      </c>
      <c r="L33" s="13">
        <f>IF($H33="","",SUMIFS('3_Ventas_Diarias'!$J$11:$J$610,'3_Ventas_Diarias'!$C$11:$C$610,$H33,'3_Ventas_Diarias'!$A$11:$A$610,"&gt;="&amp;'4_Dashboard_DAMABIS'!$P$5,'3_Ventas_Diarias'!$A$11:$A$610,"&lt;="&amp;'4_Dashboard_DAMABIS'!$P$6))</f>
        <v/>
      </c>
      <c r="M33" s="14">
        <f>IF($H33="","",N($K33)+ROW()/1000000)</f>
        <v/>
      </c>
    </row>
    <row r="34">
      <c r="H34" s="6">
        <f>IF('2_Control_de_Stock'!$A$41="","",'2_Control_de_Stock'!$A$41)</f>
        <v/>
      </c>
      <c r="I34" s="6">
        <f>IF('2_Control_de_Stock'!$A$41="","",'2_Control_de_Stock'!$B$41)</f>
        <v/>
      </c>
      <c r="J34" s="7">
        <f>IF($H34="","",SUMIFS('3_Ventas_Diarias'!$E$11:$E$610,'3_Ventas_Diarias'!$C$11:$C$610,$H34,'3_Ventas_Diarias'!$A$11:$A$610,"&gt;="&amp;'4_Dashboard_DAMABIS'!$P$5,'3_Ventas_Diarias'!$A$11:$A$610,"&lt;="&amp;'4_Dashboard_DAMABIS'!$P$6))</f>
        <v/>
      </c>
      <c r="K34" s="8">
        <f>IF($H34="","",SUMIFS('3_Ventas_Diarias'!$G$11:$G$610,'3_Ventas_Diarias'!$C$11:$C$610,$H34,'3_Ventas_Diarias'!$A$11:$A$610,"&gt;="&amp;'4_Dashboard_DAMABIS'!$P$5,'3_Ventas_Diarias'!$A$11:$A$610,"&lt;="&amp;'4_Dashboard_DAMABIS'!$P$6))</f>
        <v/>
      </c>
      <c r="L34" s="8">
        <f>IF($H34="","",SUMIFS('3_Ventas_Diarias'!$J$11:$J$610,'3_Ventas_Diarias'!$C$11:$C$610,$H34,'3_Ventas_Diarias'!$A$11:$A$610,"&gt;="&amp;'4_Dashboard_DAMABIS'!$P$5,'3_Ventas_Diarias'!$A$11:$A$610,"&lt;="&amp;'4_Dashboard_DAMABIS'!$P$6))</f>
        <v/>
      </c>
      <c r="M34" s="9">
        <f>IF($H34="","",N($K34)+ROW()/1000000)</f>
        <v/>
      </c>
    </row>
    <row r="35">
      <c r="H35" s="11">
        <f>IF('2_Control_de_Stock'!$A$42="","",'2_Control_de_Stock'!$A$42)</f>
        <v/>
      </c>
      <c r="I35" s="11">
        <f>IF('2_Control_de_Stock'!$A$42="","",'2_Control_de_Stock'!$B$42)</f>
        <v/>
      </c>
      <c r="J35" s="12">
        <f>IF($H35="","",SUMIFS('3_Ventas_Diarias'!$E$11:$E$610,'3_Ventas_Diarias'!$C$11:$C$610,$H35,'3_Ventas_Diarias'!$A$11:$A$610,"&gt;="&amp;'4_Dashboard_DAMABIS'!$P$5,'3_Ventas_Diarias'!$A$11:$A$610,"&lt;="&amp;'4_Dashboard_DAMABIS'!$P$6))</f>
        <v/>
      </c>
      <c r="K35" s="13">
        <f>IF($H35="","",SUMIFS('3_Ventas_Diarias'!$G$11:$G$610,'3_Ventas_Diarias'!$C$11:$C$610,$H35,'3_Ventas_Diarias'!$A$11:$A$610,"&gt;="&amp;'4_Dashboard_DAMABIS'!$P$5,'3_Ventas_Diarias'!$A$11:$A$610,"&lt;="&amp;'4_Dashboard_DAMABIS'!$P$6))</f>
        <v/>
      </c>
      <c r="L35" s="13">
        <f>IF($H35="","",SUMIFS('3_Ventas_Diarias'!$J$11:$J$610,'3_Ventas_Diarias'!$C$11:$C$610,$H35,'3_Ventas_Diarias'!$A$11:$A$610,"&gt;="&amp;'4_Dashboard_DAMABIS'!$P$5,'3_Ventas_Diarias'!$A$11:$A$610,"&lt;="&amp;'4_Dashboard_DAMABIS'!$P$6))</f>
        <v/>
      </c>
      <c r="M35" s="14">
        <f>IF($H35="","",N($K35)+ROW()/1000000)</f>
        <v/>
      </c>
    </row>
    <row r="36">
      <c r="H36" s="6">
        <f>IF('2_Control_de_Stock'!$A$43="","",'2_Control_de_Stock'!$A$43)</f>
        <v/>
      </c>
      <c r="I36" s="6">
        <f>IF('2_Control_de_Stock'!$A$43="","",'2_Control_de_Stock'!$B$43)</f>
        <v/>
      </c>
      <c r="J36" s="7">
        <f>IF($H36="","",SUMIFS('3_Ventas_Diarias'!$E$11:$E$610,'3_Ventas_Diarias'!$C$11:$C$610,$H36,'3_Ventas_Diarias'!$A$11:$A$610,"&gt;="&amp;'4_Dashboard_DAMABIS'!$P$5,'3_Ventas_Diarias'!$A$11:$A$610,"&lt;="&amp;'4_Dashboard_DAMABIS'!$P$6))</f>
        <v/>
      </c>
      <c r="K36" s="8">
        <f>IF($H36="","",SUMIFS('3_Ventas_Diarias'!$G$11:$G$610,'3_Ventas_Diarias'!$C$11:$C$610,$H36,'3_Ventas_Diarias'!$A$11:$A$610,"&gt;="&amp;'4_Dashboard_DAMABIS'!$P$5,'3_Ventas_Diarias'!$A$11:$A$610,"&lt;="&amp;'4_Dashboard_DAMABIS'!$P$6))</f>
        <v/>
      </c>
      <c r="L36" s="8">
        <f>IF($H36="","",SUMIFS('3_Ventas_Diarias'!$J$11:$J$610,'3_Ventas_Diarias'!$C$11:$C$610,$H36,'3_Ventas_Diarias'!$A$11:$A$610,"&gt;="&amp;'4_Dashboard_DAMABIS'!$P$5,'3_Ventas_Diarias'!$A$11:$A$610,"&lt;="&amp;'4_Dashboard_DAMABIS'!$P$6))</f>
        <v/>
      </c>
      <c r="M36" s="9">
        <f>IF($H36="","",N($K36)+ROW()/1000000)</f>
        <v/>
      </c>
    </row>
    <row r="37">
      <c r="H37" s="11">
        <f>IF('2_Control_de_Stock'!$A$44="","",'2_Control_de_Stock'!$A$44)</f>
        <v/>
      </c>
      <c r="I37" s="11">
        <f>IF('2_Control_de_Stock'!$A$44="","",'2_Control_de_Stock'!$B$44)</f>
        <v/>
      </c>
      <c r="J37" s="12">
        <f>IF($H37="","",SUMIFS('3_Ventas_Diarias'!$E$11:$E$610,'3_Ventas_Diarias'!$C$11:$C$610,$H37,'3_Ventas_Diarias'!$A$11:$A$610,"&gt;="&amp;'4_Dashboard_DAMABIS'!$P$5,'3_Ventas_Diarias'!$A$11:$A$610,"&lt;="&amp;'4_Dashboard_DAMABIS'!$P$6))</f>
        <v/>
      </c>
      <c r="K37" s="13">
        <f>IF($H37="","",SUMIFS('3_Ventas_Diarias'!$G$11:$G$610,'3_Ventas_Diarias'!$C$11:$C$610,$H37,'3_Ventas_Diarias'!$A$11:$A$610,"&gt;="&amp;'4_Dashboard_DAMABIS'!$P$5,'3_Ventas_Diarias'!$A$11:$A$610,"&lt;="&amp;'4_Dashboard_DAMABIS'!$P$6))</f>
        <v/>
      </c>
      <c r="L37" s="13">
        <f>IF($H37="","",SUMIFS('3_Ventas_Diarias'!$J$11:$J$610,'3_Ventas_Diarias'!$C$11:$C$610,$H37,'3_Ventas_Diarias'!$A$11:$A$610,"&gt;="&amp;'4_Dashboard_DAMABIS'!$P$5,'3_Ventas_Diarias'!$A$11:$A$610,"&lt;="&amp;'4_Dashboard_DAMABIS'!$P$6))</f>
        <v/>
      </c>
      <c r="M37" s="14">
        <f>IF($H37="","",N($K37)+ROW()/1000000)</f>
        <v/>
      </c>
    </row>
    <row r="38">
      <c r="H38" s="6">
        <f>IF('2_Control_de_Stock'!$A$45="","",'2_Control_de_Stock'!$A$45)</f>
        <v/>
      </c>
      <c r="I38" s="6">
        <f>IF('2_Control_de_Stock'!$A$45="","",'2_Control_de_Stock'!$B$45)</f>
        <v/>
      </c>
      <c r="J38" s="7">
        <f>IF($H38="","",SUMIFS('3_Ventas_Diarias'!$E$11:$E$610,'3_Ventas_Diarias'!$C$11:$C$610,$H38,'3_Ventas_Diarias'!$A$11:$A$610,"&gt;="&amp;'4_Dashboard_DAMABIS'!$P$5,'3_Ventas_Diarias'!$A$11:$A$610,"&lt;="&amp;'4_Dashboard_DAMABIS'!$P$6))</f>
        <v/>
      </c>
      <c r="K38" s="8">
        <f>IF($H38="","",SUMIFS('3_Ventas_Diarias'!$G$11:$G$610,'3_Ventas_Diarias'!$C$11:$C$610,$H38,'3_Ventas_Diarias'!$A$11:$A$610,"&gt;="&amp;'4_Dashboard_DAMABIS'!$P$5,'3_Ventas_Diarias'!$A$11:$A$610,"&lt;="&amp;'4_Dashboard_DAMABIS'!$P$6))</f>
        <v/>
      </c>
      <c r="L38" s="8">
        <f>IF($H38="","",SUMIFS('3_Ventas_Diarias'!$J$11:$J$610,'3_Ventas_Diarias'!$C$11:$C$610,$H38,'3_Ventas_Diarias'!$A$11:$A$610,"&gt;="&amp;'4_Dashboard_DAMABIS'!$P$5,'3_Ventas_Diarias'!$A$11:$A$610,"&lt;="&amp;'4_Dashboard_DAMABIS'!$P$6))</f>
        <v/>
      </c>
      <c r="M38" s="9">
        <f>IF($H38="","",N($K38)+ROW()/1000000)</f>
        <v/>
      </c>
    </row>
    <row r="39">
      <c r="H39" s="11">
        <f>IF('2_Control_de_Stock'!$A$46="","",'2_Control_de_Stock'!$A$46)</f>
        <v/>
      </c>
      <c r="I39" s="11">
        <f>IF('2_Control_de_Stock'!$A$46="","",'2_Control_de_Stock'!$B$46)</f>
        <v/>
      </c>
      <c r="J39" s="12">
        <f>IF($H39="","",SUMIFS('3_Ventas_Diarias'!$E$11:$E$610,'3_Ventas_Diarias'!$C$11:$C$610,$H39,'3_Ventas_Diarias'!$A$11:$A$610,"&gt;="&amp;'4_Dashboard_DAMABIS'!$P$5,'3_Ventas_Diarias'!$A$11:$A$610,"&lt;="&amp;'4_Dashboard_DAMABIS'!$P$6))</f>
        <v/>
      </c>
      <c r="K39" s="13">
        <f>IF($H39="","",SUMIFS('3_Ventas_Diarias'!$G$11:$G$610,'3_Ventas_Diarias'!$C$11:$C$610,$H39,'3_Ventas_Diarias'!$A$11:$A$610,"&gt;="&amp;'4_Dashboard_DAMABIS'!$P$5,'3_Ventas_Diarias'!$A$11:$A$610,"&lt;="&amp;'4_Dashboard_DAMABIS'!$P$6))</f>
        <v/>
      </c>
      <c r="L39" s="13">
        <f>IF($H39="","",SUMIFS('3_Ventas_Diarias'!$J$11:$J$610,'3_Ventas_Diarias'!$C$11:$C$610,$H39,'3_Ventas_Diarias'!$A$11:$A$610,"&gt;="&amp;'4_Dashboard_DAMABIS'!$P$5,'3_Ventas_Diarias'!$A$11:$A$610,"&lt;="&amp;'4_Dashboard_DAMABIS'!$P$6))</f>
        <v/>
      </c>
      <c r="M39" s="14">
        <f>IF($H39="","",N($K39)+ROW()/1000000)</f>
        <v/>
      </c>
    </row>
    <row r="40">
      <c r="H40" s="6">
        <f>IF('2_Control_de_Stock'!$A$47="","",'2_Control_de_Stock'!$A$47)</f>
        <v/>
      </c>
      <c r="I40" s="6">
        <f>IF('2_Control_de_Stock'!$A$47="","",'2_Control_de_Stock'!$B$47)</f>
        <v/>
      </c>
      <c r="J40" s="7">
        <f>IF($H40="","",SUMIFS('3_Ventas_Diarias'!$E$11:$E$610,'3_Ventas_Diarias'!$C$11:$C$610,$H40,'3_Ventas_Diarias'!$A$11:$A$610,"&gt;="&amp;'4_Dashboard_DAMABIS'!$P$5,'3_Ventas_Diarias'!$A$11:$A$610,"&lt;="&amp;'4_Dashboard_DAMABIS'!$P$6))</f>
        <v/>
      </c>
      <c r="K40" s="8">
        <f>IF($H40="","",SUMIFS('3_Ventas_Diarias'!$G$11:$G$610,'3_Ventas_Diarias'!$C$11:$C$610,$H40,'3_Ventas_Diarias'!$A$11:$A$610,"&gt;="&amp;'4_Dashboard_DAMABIS'!$P$5,'3_Ventas_Diarias'!$A$11:$A$610,"&lt;="&amp;'4_Dashboard_DAMABIS'!$P$6))</f>
        <v/>
      </c>
      <c r="L40" s="8">
        <f>IF($H40="","",SUMIFS('3_Ventas_Diarias'!$J$11:$J$610,'3_Ventas_Diarias'!$C$11:$C$610,$H40,'3_Ventas_Diarias'!$A$11:$A$610,"&gt;="&amp;'4_Dashboard_DAMABIS'!$P$5,'3_Ventas_Diarias'!$A$11:$A$610,"&lt;="&amp;'4_Dashboard_DAMABIS'!$P$6))</f>
        <v/>
      </c>
      <c r="M40" s="9">
        <f>IF($H40="","",N($K40)+ROW()/1000000)</f>
        <v/>
      </c>
    </row>
    <row r="41">
      <c r="H41" s="11">
        <f>IF('2_Control_de_Stock'!$A$48="","",'2_Control_de_Stock'!$A$48)</f>
        <v/>
      </c>
      <c r="I41" s="11">
        <f>IF('2_Control_de_Stock'!$A$48="","",'2_Control_de_Stock'!$B$48)</f>
        <v/>
      </c>
      <c r="J41" s="12">
        <f>IF($H41="","",SUMIFS('3_Ventas_Diarias'!$E$11:$E$610,'3_Ventas_Diarias'!$C$11:$C$610,$H41,'3_Ventas_Diarias'!$A$11:$A$610,"&gt;="&amp;'4_Dashboard_DAMABIS'!$P$5,'3_Ventas_Diarias'!$A$11:$A$610,"&lt;="&amp;'4_Dashboard_DAMABIS'!$P$6))</f>
        <v/>
      </c>
      <c r="K41" s="13">
        <f>IF($H41="","",SUMIFS('3_Ventas_Diarias'!$G$11:$G$610,'3_Ventas_Diarias'!$C$11:$C$610,$H41,'3_Ventas_Diarias'!$A$11:$A$610,"&gt;="&amp;'4_Dashboard_DAMABIS'!$P$5,'3_Ventas_Diarias'!$A$11:$A$610,"&lt;="&amp;'4_Dashboard_DAMABIS'!$P$6))</f>
        <v/>
      </c>
      <c r="L41" s="13">
        <f>IF($H41="","",SUMIFS('3_Ventas_Diarias'!$J$11:$J$610,'3_Ventas_Diarias'!$C$11:$C$610,$H41,'3_Ventas_Diarias'!$A$11:$A$610,"&gt;="&amp;'4_Dashboard_DAMABIS'!$P$5,'3_Ventas_Diarias'!$A$11:$A$610,"&lt;="&amp;'4_Dashboard_DAMABIS'!$P$6))</f>
        <v/>
      </c>
      <c r="M41" s="14">
        <f>IF($H41="","",N($K41)+ROW()/1000000)</f>
        <v/>
      </c>
    </row>
    <row r="42">
      <c r="H42" s="6">
        <f>IF('2_Control_de_Stock'!$A$49="","",'2_Control_de_Stock'!$A$49)</f>
        <v/>
      </c>
      <c r="I42" s="6">
        <f>IF('2_Control_de_Stock'!$A$49="","",'2_Control_de_Stock'!$B$49)</f>
        <v/>
      </c>
      <c r="J42" s="7">
        <f>IF($H42="","",SUMIFS('3_Ventas_Diarias'!$E$11:$E$610,'3_Ventas_Diarias'!$C$11:$C$610,$H42,'3_Ventas_Diarias'!$A$11:$A$610,"&gt;="&amp;'4_Dashboard_DAMABIS'!$P$5,'3_Ventas_Diarias'!$A$11:$A$610,"&lt;="&amp;'4_Dashboard_DAMABIS'!$P$6))</f>
        <v/>
      </c>
      <c r="K42" s="8">
        <f>IF($H42="","",SUMIFS('3_Ventas_Diarias'!$G$11:$G$610,'3_Ventas_Diarias'!$C$11:$C$610,$H42,'3_Ventas_Diarias'!$A$11:$A$610,"&gt;="&amp;'4_Dashboard_DAMABIS'!$P$5,'3_Ventas_Diarias'!$A$11:$A$610,"&lt;="&amp;'4_Dashboard_DAMABIS'!$P$6))</f>
        <v/>
      </c>
      <c r="L42" s="8">
        <f>IF($H42="","",SUMIFS('3_Ventas_Diarias'!$J$11:$J$610,'3_Ventas_Diarias'!$C$11:$C$610,$H42,'3_Ventas_Diarias'!$A$11:$A$610,"&gt;="&amp;'4_Dashboard_DAMABIS'!$P$5,'3_Ventas_Diarias'!$A$11:$A$610,"&lt;="&amp;'4_Dashboard_DAMABIS'!$P$6))</f>
        <v/>
      </c>
      <c r="M42" s="9">
        <f>IF($H42="","",N($K42)+ROW()/1000000)</f>
        <v/>
      </c>
    </row>
    <row r="43">
      <c r="H43" s="11">
        <f>IF('2_Control_de_Stock'!$A$50="","",'2_Control_de_Stock'!$A$50)</f>
        <v/>
      </c>
      <c r="I43" s="11">
        <f>IF('2_Control_de_Stock'!$A$50="","",'2_Control_de_Stock'!$B$50)</f>
        <v/>
      </c>
      <c r="J43" s="12">
        <f>IF($H43="","",SUMIFS('3_Ventas_Diarias'!$E$11:$E$610,'3_Ventas_Diarias'!$C$11:$C$610,$H43,'3_Ventas_Diarias'!$A$11:$A$610,"&gt;="&amp;'4_Dashboard_DAMABIS'!$P$5,'3_Ventas_Diarias'!$A$11:$A$610,"&lt;="&amp;'4_Dashboard_DAMABIS'!$P$6))</f>
        <v/>
      </c>
      <c r="K43" s="13">
        <f>IF($H43="","",SUMIFS('3_Ventas_Diarias'!$G$11:$G$610,'3_Ventas_Diarias'!$C$11:$C$610,$H43,'3_Ventas_Diarias'!$A$11:$A$610,"&gt;="&amp;'4_Dashboard_DAMABIS'!$P$5,'3_Ventas_Diarias'!$A$11:$A$610,"&lt;="&amp;'4_Dashboard_DAMABIS'!$P$6))</f>
        <v/>
      </c>
      <c r="L43" s="13">
        <f>IF($H43="","",SUMIFS('3_Ventas_Diarias'!$J$11:$J$610,'3_Ventas_Diarias'!$C$11:$C$610,$H43,'3_Ventas_Diarias'!$A$11:$A$610,"&gt;="&amp;'4_Dashboard_DAMABIS'!$P$5,'3_Ventas_Diarias'!$A$11:$A$610,"&lt;="&amp;'4_Dashboard_DAMABIS'!$P$6))</f>
        <v/>
      </c>
      <c r="M43" s="14">
        <f>IF($H43="","",N($K43)+ROW()/1000000)</f>
        <v/>
      </c>
    </row>
    <row r="44">
      <c r="H44" s="6">
        <f>IF('2_Control_de_Stock'!$A$51="","",'2_Control_de_Stock'!$A$51)</f>
        <v/>
      </c>
      <c r="I44" s="6">
        <f>IF('2_Control_de_Stock'!$A$51="","",'2_Control_de_Stock'!$B$51)</f>
        <v/>
      </c>
      <c r="J44" s="7">
        <f>IF($H44="","",SUMIFS('3_Ventas_Diarias'!$E$11:$E$610,'3_Ventas_Diarias'!$C$11:$C$610,$H44,'3_Ventas_Diarias'!$A$11:$A$610,"&gt;="&amp;'4_Dashboard_DAMABIS'!$P$5,'3_Ventas_Diarias'!$A$11:$A$610,"&lt;="&amp;'4_Dashboard_DAMABIS'!$P$6))</f>
        <v/>
      </c>
      <c r="K44" s="8">
        <f>IF($H44="","",SUMIFS('3_Ventas_Diarias'!$G$11:$G$610,'3_Ventas_Diarias'!$C$11:$C$610,$H44,'3_Ventas_Diarias'!$A$11:$A$610,"&gt;="&amp;'4_Dashboard_DAMABIS'!$P$5,'3_Ventas_Diarias'!$A$11:$A$610,"&lt;="&amp;'4_Dashboard_DAMABIS'!$P$6))</f>
        <v/>
      </c>
      <c r="L44" s="8">
        <f>IF($H44="","",SUMIFS('3_Ventas_Diarias'!$J$11:$J$610,'3_Ventas_Diarias'!$C$11:$C$610,$H44,'3_Ventas_Diarias'!$A$11:$A$610,"&gt;="&amp;'4_Dashboard_DAMABIS'!$P$5,'3_Ventas_Diarias'!$A$11:$A$610,"&lt;="&amp;'4_Dashboard_DAMABIS'!$P$6))</f>
        <v/>
      </c>
      <c r="M44" s="9">
        <f>IF($H44="","",N($K44)+ROW()/1000000)</f>
        <v/>
      </c>
    </row>
    <row r="45">
      <c r="H45" s="11">
        <f>IF('2_Control_de_Stock'!$A$52="","",'2_Control_de_Stock'!$A$52)</f>
        <v/>
      </c>
      <c r="I45" s="11">
        <f>IF('2_Control_de_Stock'!$A$52="","",'2_Control_de_Stock'!$B$52)</f>
        <v/>
      </c>
      <c r="J45" s="12">
        <f>IF($H45="","",SUMIFS('3_Ventas_Diarias'!$E$11:$E$610,'3_Ventas_Diarias'!$C$11:$C$610,$H45,'3_Ventas_Diarias'!$A$11:$A$610,"&gt;="&amp;'4_Dashboard_DAMABIS'!$P$5,'3_Ventas_Diarias'!$A$11:$A$610,"&lt;="&amp;'4_Dashboard_DAMABIS'!$P$6))</f>
        <v/>
      </c>
      <c r="K45" s="13">
        <f>IF($H45="","",SUMIFS('3_Ventas_Diarias'!$G$11:$G$610,'3_Ventas_Diarias'!$C$11:$C$610,$H45,'3_Ventas_Diarias'!$A$11:$A$610,"&gt;="&amp;'4_Dashboard_DAMABIS'!$P$5,'3_Ventas_Diarias'!$A$11:$A$610,"&lt;="&amp;'4_Dashboard_DAMABIS'!$P$6))</f>
        <v/>
      </c>
      <c r="L45" s="13">
        <f>IF($H45="","",SUMIFS('3_Ventas_Diarias'!$J$11:$J$610,'3_Ventas_Diarias'!$C$11:$C$610,$H45,'3_Ventas_Diarias'!$A$11:$A$610,"&gt;="&amp;'4_Dashboard_DAMABIS'!$P$5,'3_Ventas_Diarias'!$A$11:$A$610,"&lt;="&amp;'4_Dashboard_DAMABIS'!$P$6))</f>
        <v/>
      </c>
      <c r="M45" s="14">
        <f>IF($H45="","",N($K45)+ROW()/1000000)</f>
        <v/>
      </c>
    </row>
    <row r="46">
      <c r="H46" s="6">
        <f>IF('2_Control_de_Stock'!$A$53="","",'2_Control_de_Stock'!$A$53)</f>
        <v/>
      </c>
      <c r="I46" s="6">
        <f>IF('2_Control_de_Stock'!$A$53="","",'2_Control_de_Stock'!$B$53)</f>
        <v/>
      </c>
      <c r="J46" s="7">
        <f>IF($H46="","",SUMIFS('3_Ventas_Diarias'!$E$11:$E$610,'3_Ventas_Diarias'!$C$11:$C$610,$H46,'3_Ventas_Diarias'!$A$11:$A$610,"&gt;="&amp;'4_Dashboard_DAMABIS'!$P$5,'3_Ventas_Diarias'!$A$11:$A$610,"&lt;="&amp;'4_Dashboard_DAMABIS'!$P$6))</f>
        <v/>
      </c>
      <c r="K46" s="8">
        <f>IF($H46="","",SUMIFS('3_Ventas_Diarias'!$G$11:$G$610,'3_Ventas_Diarias'!$C$11:$C$610,$H46,'3_Ventas_Diarias'!$A$11:$A$610,"&gt;="&amp;'4_Dashboard_DAMABIS'!$P$5,'3_Ventas_Diarias'!$A$11:$A$610,"&lt;="&amp;'4_Dashboard_DAMABIS'!$P$6))</f>
        <v/>
      </c>
      <c r="L46" s="8">
        <f>IF($H46="","",SUMIFS('3_Ventas_Diarias'!$J$11:$J$610,'3_Ventas_Diarias'!$C$11:$C$610,$H46,'3_Ventas_Diarias'!$A$11:$A$610,"&gt;="&amp;'4_Dashboard_DAMABIS'!$P$5,'3_Ventas_Diarias'!$A$11:$A$610,"&lt;="&amp;'4_Dashboard_DAMABIS'!$P$6))</f>
        <v/>
      </c>
      <c r="M46" s="9">
        <f>IF($H46="","",N($K46)+ROW()/1000000)</f>
        <v/>
      </c>
    </row>
    <row r="47">
      <c r="H47" s="11">
        <f>IF('2_Control_de_Stock'!$A$54="","",'2_Control_de_Stock'!$A$54)</f>
        <v/>
      </c>
      <c r="I47" s="11">
        <f>IF('2_Control_de_Stock'!$A$54="","",'2_Control_de_Stock'!$B$54)</f>
        <v/>
      </c>
      <c r="J47" s="12">
        <f>IF($H47="","",SUMIFS('3_Ventas_Diarias'!$E$11:$E$610,'3_Ventas_Diarias'!$C$11:$C$610,$H47,'3_Ventas_Diarias'!$A$11:$A$610,"&gt;="&amp;'4_Dashboard_DAMABIS'!$P$5,'3_Ventas_Diarias'!$A$11:$A$610,"&lt;="&amp;'4_Dashboard_DAMABIS'!$P$6))</f>
        <v/>
      </c>
      <c r="K47" s="13">
        <f>IF($H47="","",SUMIFS('3_Ventas_Diarias'!$G$11:$G$610,'3_Ventas_Diarias'!$C$11:$C$610,$H47,'3_Ventas_Diarias'!$A$11:$A$610,"&gt;="&amp;'4_Dashboard_DAMABIS'!$P$5,'3_Ventas_Diarias'!$A$11:$A$610,"&lt;="&amp;'4_Dashboard_DAMABIS'!$P$6))</f>
        <v/>
      </c>
      <c r="L47" s="13">
        <f>IF($H47="","",SUMIFS('3_Ventas_Diarias'!$J$11:$J$610,'3_Ventas_Diarias'!$C$11:$C$610,$H47,'3_Ventas_Diarias'!$A$11:$A$610,"&gt;="&amp;'4_Dashboard_DAMABIS'!$P$5,'3_Ventas_Diarias'!$A$11:$A$610,"&lt;="&amp;'4_Dashboard_DAMABIS'!$P$6))</f>
        <v/>
      </c>
      <c r="M47" s="14">
        <f>IF($H47="","",N($K47)+ROW()/1000000)</f>
        <v/>
      </c>
    </row>
    <row r="48">
      <c r="H48" s="6">
        <f>IF('2_Control_de_Stock'!$A$55="","",'2_Control_de_Stock'!$A$55)</f>
        <v/>
      </c>
      <c r="I48" s="6">
        <f>IF('2_Control_de_Stock'!$A$55="","",'2_Control_de_Stock'!$B$55)</f>
        <v/>
      </c>
      <c r="J48" s="7">
        <f>IF($H48="","",SUMIFS('3_Ventas_Diarias'!$E$11:$E$610,'3_Ventas_Diarias'!$C$11:$C$610,$H48,'3_Ventas_Diarias'!$A$11:$A$610,"&gt;="&amp;'4_Dashboard_DAMABIS'!$P$5,'3_Ventas_Diarias'!$A$11:$A$610,"&lt;="&amp;'4_Dashboard_DAMABIS'!$P$6))</f>
        <v/>
      </c>
      <c r="K48" s="8">
        <f>IF($H48="","",SUMIFS('3_Ventas_Diarias'!$G$11:$G$610,'3_Ventas_Diarias'!$C$11:$C$610,$H48,'3_Ventas_Diarias'!$A$11:$A$610,"&gt;="&amp;'4_Dashboard_DAMABIS'!$P$5,'3_Ventas_Diarias'!$A$11:$A$610,"&lt;="&amp;'4_Dashboard_DAMABIS'!$P$6))</f>
        <v/>
      </c>
      <c r="L48" s="8">
        <f>IF($H48="","",SUMIFS('3_Ventas_Diarias'!$J$11:$J$610,'3_Ventas_Diarias'!$C$11:$C$610,$H48,'3_Ventas_Diarias'!$A$11:$A$610,"&gt;="&amp;'4_Dashboard_DAMABIS'!$P$5,'3_Ventas_Diarias'!$A$11:$A$610,"&lt;="&amp;'4_Dashboard_DAMABIS'!$P$6))</f>
        <v/>
      </c>
      <c r="M48" s="9">
        <f>IF($H48="","",N($K48)+ROW()/1000000)</f>
        <v/>
      </c>
    </row>
    <row r="49">
      <c r="H49" s="11">
        <f>IF('2_Control_de_Stock'!$A$56="","",'2_Control_de_Stock'!$A$56)</f>
        <v/>
      </c>
      <c r="I49" s="11">
        <f>IF('2_Control_de_Stock'!$A$56="","",'2_Control_de_Stock'!$B$56)</f>
        <v/>
      </c>
      <c r="J49" s="12">
        <f>IF($H49="","",SUMIFS('3_Ventas_Diarias'!$E$11:$E$610,'3_Ventas_Diarias'!$C$11:$C$610,$H49,'3_Ventas_Diarias'!$A$11:$A$610,"&gt;="&amp;'4_Dashboard_DAMABIS'!$P$5,'3_Ventas_Diarias'!$A$11:$A$610,"&lt;="&amp;'4_Dashboard_DAMABIS'!$P$6))</f>
        <v/>
      </c>
      <c r="K49" s="13">
        <f>IF($H49="","",SUMIFS('3_Ventas_Diarias'!$G$11:$G$610,'3_Ventas_Diarias'!$C$11:$C$610,$H49,'3_Ventas_Diarias'!$A$11:$A$610,"&gt;="&amp;'4_Dashboard_DAMABIS'!$P$5,'3_Ventas_Diarias'!$A$11:$A$610,"&lt;="&amp;'4_Dashboard_DAMABIS'!$P$6))</f>
        <v/>
      </c>
      <c r="L49" s="13">
        <f>IF($H49="","",SUMIFS('3_Ventas_Diarias'!$J$11:$J$610,'3_Ventas_Diarias'!$C$11:$C$610,$H49,'3_Ventas_Diarias'!$A$11:$A$610,"&gt;="&amp;'4_Dashboard_DAMABIS'!$P$5,'3_Ventas_Diarias'!$A$11:$A$610,"&lt;="&amp;'4_Dashboard_DAMABIS'!$P$6))</f>
        <v/>
      </c>
      <c r="M49" s="14">
        <f>IF($H49="","",N($K49)+ROW()/1000000)</f>
        <v/>
      </c>
    </row>
    <row r="50">
      <c r="H50" s="6">
        <f>IF('2_Control_de_Stock'!$A$57="","",'2_Control_de_Stock'!$A$57)</f>
        <v/>
      </c>
      <c r="I50" s="6">
        <f>IF('2_Control_de_Stock'!$A$57="","",'2_Control_de_Stock'!$B$57)</f>
        <v/>
      </c>
      <c r="J50" s="7">
        <f>IF($H50="","",SUMIFS('3_Ventas_Diarias'!$E$11:$E$610,'3_Ventas_Diarias'!$C$11:$C$610,$H50,'3_Ventas_Diarias'!$A$11:$A$610,"&gt;="&amp;'4_Dashboard_DAMABIS'!$P$5,'3_Ventas_Diarias'!$A$11:$A$610,"&lt;="&amp;'4_Dashboard_DAMABIS'!$P$6))</f>
        <v/>
      </c>
      <c r="K50" s="8">
        <f>IF($H50="","",SUMIFS('3_Ventas_Diarias'!$G$11:$G$610,'3_Ventas_Diarias'!$C$11:$C$610,$H50,'3_Ventas_Diarias'!$A$11:$A$610,"&gt;="&amp;'4_Dashboard_DAMABIS'!$P$5,'3_Ventas_Diarias'!$A$11:$A$610,"&lt;="&amp;'4_Dashboard_DAMABIS'!$P$6))</f>
        <v/>
      </c>
      <c r="L50" s="8">
        <f>IF($H50="","",SUMIFS('3_Ventas_Diarias'!$J$11:$J$610,'3_Ventas_Diarias'!$C$11:$C$610,$H50,'3_Ventas_Diarias'!$A$11:$A$610,"&gt;="&amp;'4_Dashboard_DAMABIS'!$P$5,'3_Ventas_Diarias'!$A$11:$A$610,"&lt;="&amp;'4_Dashboard_DAMABIS'!$P$6))</f>
        <v/>
      </c>
      <c r="M50" s="9">
        <f>IF($H50="","",N($K50)+ROW()/1000000)</f>
        <v/>
      </c>
    </row>
    <row r="51">
      <c r="H51" s="11">
        <f>IF('2_Control_de_Stock'!$A$58="","",'2_Control_de_Stock'!$A$58)</f>
        <v/>
      </c>
      <c r="I51" s="11">
        <f>IF('2_Control_de_Stock'!$A$58="","",'2_Control_de_Stock'!$B$58)</f>
        <v/>
      </c>
      <c r="J51" s="12">
        <f>IF($H51="","",SUMIFS('3_Ventas_Diarias'!$E$11:$E$610,'3_Ventas_Diarias'!$C$11:$C$610,$H51,'3_Ventas_Diarias'!$A$11:$A$610,"&gt;="&amp;'4_Dashboard_DAMABIS'!$P$5,'3_Ventas_Diarias'!$A$11:$A$610,"&lt;="&amp;'4_Dashboard_DAMABIS'!$P$6))</f>
        <v/>
      </c>
      <c r="K51" s="13">
        <f>IF($H51="","",SUMIFS('3_Ventas_Diarias'!$G$11:$G$610,'3_Ventas_Diarias'!$C$11:$C$610,$H51,'3_Ventas_Diarias'!$A$11:$A$610,"&gt;="&amp;'4_Dashboard_DAMABIS'!$P$5,'3_Ventas_Diarias'!$A$11:$A$610,"&lt;="&amp;'4_Dashboard_DAMABIS'!$P$6))</f>
        <v/>
      </c>
      <c r="L51" s="13">
        <f>IF($H51="","",SUMIFS('3_Ventas_Diarias'!$J$11:$J$610,'3_Ventas_Diarias'!$C$11:$C$610,$H51,'3_Ventas_Diarias'!$A$11:$A$610,"&gt;="&amp;'4_Dashboard_DAMABIS'!$P$5,'3_Ventas_Diarias'!$A$11:$A$610,"&lt;="&amp;'4_Dashboard_DAMABIS'!$P$6))</f>
        <v/>
      </c>
      <c r="M51" s="14">
        <f>IF($H51="","",N($K51)+ROW()/1000000)</f>
        <v/>
      </c>
    </row>
    <row r="52">
      <c r="H52" s="6">
        <f>IF('2_Control_de_Stock'!$A$59="","",'2_Control_de_Stock'!$A$59)</f>
        <v/>
      </c>
      <c r="I52" s="6">
        <f>IF('2_Control_de_Stock'!$A$59="","",'2_Control_de_Stock'!$B$59)</f>
        <v/>
      </c>
      <c r="J52" s="7">
        <f>IF($H52="","",SUMIFS('3_Ventas_Diarias'!$E$11:$E$610,'3_Ventas_Diarias'!$C$11:$C$610,$H52,'3_Ventas_Diarias'!$A$11:$A$610,"&gt;="&amp;'4_Dashboard_DAMABIS'!$P$5,'3_Ventas_Diarias'!$A$11:$A$610,"&lt;="&amp;'4_Dashboard_DAMABIS'!$P$6))</f>
        <v/>
      </c>
      <c r="K52" s="8">
        <f>IF($H52="","",SUMIFS('3_Ventas_Diarias'!$G$11:$G$610,'3_Ventas_Diarias'!$C$11:$C$610,$H52,'3_Ventas_Diarias'!$A$11:$A$610,"&gt;="&amp;'4_Dashboard_DAMABIS'!$P$5,'3_Ventas_Diarias'!$A$11:$A$610,"&lt;="&amp;'4_Dashboard_DAMABIS'!$P$6))</f>
        <v/>
      </c>
      <c r="L52" s="8">
        <f>IF($H52="","",SUMIFS('3_Ventas_Diarias'!$J$11:$J$610,'3_Ventas_Diarias'!$C$11:$C$610,$H52,'3_Ventas_Diarias'!$A$11:$A$610,"&gt;="&amp;'4_Dashboard_DAMABIS'!$P$5,'3_Ventas_Diarias'!$A$11:$A$610,"&lt;="&amp;'4_Dashboard_DAMABIS'!$P$6))</f>
        <v/>
      </c>
      <c r="M52" s="9">
        <f>IF($H52="","",N($K52)+ROW()/1000000)</f>
        <v/>
      </c>
    </row>
    <row r="53">
      <c r="H53" s="11">
        <f>IF('2_Control_de_Stock'!$A$60="","",'2_Control_de_Stock'!$A$60)</f>
        <v/>
      </c>
      <c r="I53" s="11">
        <f>IF('2_Control_de_Stock'!$A$60="","",'2_Control_de_Stock'!$B$60)</f>
        <v/>
      </c>
      <c r="J53" s="12">
        <f>IF($H53="","",SUMIFS('3_Ventas_Diarias'!$E$11:$E$610,'3_Ventas_Diarias'!$C$11:$C$610,$H53,'3_Ventas_Diarias'!$A$11:$A$610,"&gt;="&amp;'4_Dashboard_DAMABIS'!$P$5,'3_Ventas_Diarias'!$A$11:$A$610,"&lt;="&amp;'4_Dashboard_DAMABIS'!$P$6))</f>
        <v/>
      </c>
      <c r="K53" s="13">
        <f>IF($H53="","",SUMIFS('3_Ventas_Diarias'!$G$11:$G$610,'3_Ventas_Diarias'!$C$11:$C$610,$H53,'3_Ventas_Diarias'!$A$11:$A$610,"&gt;="&amp;'4_Dashboard_DAMABIS'!$P$5,'3_Ventas_Diarias'!$A$11:$A$610,"&lt;="&amp;'4_Dashboard_DAMABIS'!$P$6))</f>
        <v/>
      </c>
      <c r="L53" s="13">
        <f>IF($H53="","",SUMIFS('3_Ventas_Diarias'!$J$11:$J$610,'3_Ventas_Diarias'!$C$11:$C$610,$H53,'3_Ventas_Diarias'!$A$11:$A$610,"&gt;="&amp;'4_Dashboard_DAMABIS'!$P$5,'3_Ventas_Diarias'!$A$11:$A$610,"&lt;="&amp;'4_Dashboard_DAMABIS'!$P$6))</f>
        <v/>
      </c>
      <c r="M53" s="14">
        <f>IF($H53="","",N($K53)+ROW()/1000000)</f>
        <v/>
      </c>
    </row>
    <row r="54">
      <c r="H54" s="6">
        <f>IF('2_Control_de_Stock'!$A$61="","",'2_Control_de_Stock'!$A$61)</f>
        <v/>
      </c>
      <c r="I54" s="6">
        <f>IF('2_Control_de_Stock'!$A$61="","",'2_Control_de_Stock'!$B$61)</f>
        <v/>
      </c>
      <c r="J54" s="7">
        <f>IF($H54="","",SUMIFS('3_Ventas_Diarias'!$E$11:$E$610,'3_Ventas_Diarias'!$C$11:$C$610,$H54,'3_Ventas_Diarias'!$A$11:$A$610,"&gt;="&amp;'4_Dashboard_DAMABIS'!$P$5,'3_Ventas_Diarias'!$A$11:$A$610,"&lt;="&amp;'4_Dashboard_DAMABIS'!$P$6))</f>
        <v/>
      </c>
      <c r="K54" s="8">
        <f>IF($H54="","",SUMIFS('3_Ventas_Diarias'!$G$11:$G$610,'3_Ventas_Diarias'!$C$11:$C$610,$H54,'3_Ventas_Diarias'!$A$11:$A$610,"&gt;="&amp;'4_Dashboard_DAMABIS'!$P$5,'3_Ventas_Diarias'!$A$11:$A$610,"&lt;="&amp;'4_Dashboard_DAMABIS'!$P$6))</f>
        <v/>
      </c>
      <c r="L54" s="8">
        <f>IF($H54="","",SUMIFS('3_Ventas_Diarias'!$J$11:$J$610,'3_Ventas_Diarias'!$C$11:$C$610,$H54,'3_Ventas_Diarias'!$A$11:$A$610,"&gt;="&amp;'4_Dashboard_DAMABIS'!$P$5,'3_Ventas_Diarias'!$A$11:$A$610,"&lt;="&amp;'4_Dashboard_DAMABIS'!$P$6))</f>
        <v/>
      </c>
      <c r="M54" s="9">
        <f>IF($H54="","",N($K54)+ROW()/1000000)</f>
        <v/>
      </c>
    </row>
    <row r="55">
      <c r="H55" s="11">
        <f>IF('2_Control_de_Stock'!$A$62="","",'2_Control_de_Stock'!$A$62)</f>
        <v/>
      </c>
      <c r="I55" s="11">
        <f>IF('2_Control_de_Stock'!$A$62="","",'2_Control_de_Stock'!$B$62)</f>
        <v/>
      </c>
      <c r="J55" s="12">
        <f>IF($H55="","",SUMIFS('3_Ventas_Diarias'!$E$11:$E$610,'3_Ventas_Diarias'!$C$11:$C$610,$H55,'3_Ventas_Diarias'!$A$11:$A$610,"&gt;="&amp;'4_Dashboard_DAMABIS'!$P$5,'3_Ventas_Diarias'!$A$11:$A$610,"&lt;="&amp;'4_Dashboard_DAMABIS'!$P$6))</f>
        <v/>
      </c>
      <c r="K55" s="13">
        <f>IF($H55="","",SUMIFS('3_Ventas_Diarias'!$G$11:$G$610,'3_Ventas_Diarias'!$C$11:$C$610,$H55,'3_Ventas_Diarias'!$A$11:$A$610,"&gt;="&amp;'4_Dashboard_DAMABIS'!$P$5,'3_Ventas_Diarias'!$A$11:$A$610,"&lt;="&amp;'4_Dashboard_DAMABIS'!$P$6))</f>
        <v/>
      </c>
      <c r="L55" s="13">
        <f>IF($H55="","",SUMIFS('3_Ventas_Diarias'!$J$11:$J$610,'3_Ventas_Diarias'!$C$11:$C$610,$H55,'3_Ventas_Diarias'!$A$11:$A$610,"&gt;="&amp;'4_Dashboard_DAMABIS'!$P$5,'3_Ventas_Diarias'!$A$11:$A$610,"&lt;="&amp;'4_Dashboard_DAMABIS'!$P$6))</f>
        <v/>
      </c>
      <c r="M55" s="14">
        <f>IF($H55="","",N($K55)+ROW()/1000000)</f>
        <v/>
      </c>
    </row>
    <row r="56">
      <c r="H56" s="6">
        <f>IF('2_Control_de_Stock'!$A$63="","",'2_Control_de_Stock'!$A$63)</f>
        <v/>
      </c>
      <c r="I56" s="6">
        <f>IF('2_Control_de_Stock'!$A$63="","",'2_Control_de_Stock'!$B$63)</f>
        <v/>
      </c>
      <c r="J56" s="7">
        <f>IF($H56="","",SUMIFS('3_Ventas_Diarias'!$E$11:$E$610,'3_Ventas_Diarias'!$C$11:$C$610,$H56,'3_Ventas_Diarias'!$A$11:$A$610,"&gt;="&amp;'4_Dashboard_DAMABIS'!$P$5,'3_Ventas_Diarias'!$A$11:$A$610,"&lt;="&amp;'4_Dashboard_DAMABIS'!$P$6))</f>
        <v/>
      </c>
      <c r="K56" s="8">
        <f>IF($H56="","",SUMIFS('3_Ventas_Diarias'!$G$11:$G$610,'3_Ventas_Diarias'!$C$11:$C$610,$H56,'3_Ventas_Diarias'!$A$11:$A$610,"&gt;="&amp;'4_Dashboard_DAMABIS'!$P$5,'3_Ventas_Diarias'!$A$11:$A$610,"&lt;="&amp;'4_Dashboard_DAMABIS'!$P$6))</f>
        <v/>
      </c>
      <c r="L56" s="8">
        <f>IF($H56="","",SUMIFS('3_Ventas_Diarias'!$J$11:$J$610,'3_Ventas_Diarias'!$C$11:$C$610,$H56,'3_Ventas_Diarias'!$A$11:$A$610,"&gt;="&amp;'4_Dashboard_DAMABIS'!$P$5,'3_Ventas_Diarias'!$A$11:$A$610,"&lt;="&amp;'4_Dashboard_DAMABIS'!$P$6))</f>
        <v/>
      </c>
      <c r="M56" s="9">
        <f>IF($H56="","",N($K56)+ROW()/1000000)</f>
        <v/>
      </c>
    </row>
    <row r="57">
      <c r="H57" s="11">
        <f>IF('2_Control_de_Stock'!$A$64="","",'2_Control_de_Stock'!$A$64)</f>
        <v/>
      </c>
      <c r="I57" s="11">
        <f>IF('2_Control_de_Stock'!$A$64="","",'2_Control_de_Stock'!$B$64)</f>
        <v/>
      </c>
      <c r="J57" s="12">
        <f>IF($H57="","",SUMIFS('3_Ventas_Diarias'!$E$11:$E$610,'3_Ventas_Diarias'!$C$11:$C$610,$H57,'3_Ventas_Diarias'!$A$11:$A$610,"&gt;="&amp;'4_Dashboard_DAMABIS'!$P$5,'3_Ventas_Diarias'!$A$11:$A$610,"&lt;="&amp;'4_Dashboard_DAMABIS'!$P$6))</f>
        <v/>
      </c>
      <c r="K57" s="13">
        <f>IF($H57="","",SUMIFS('3_Ventas_Diarias'!$G$11:$G$610,'3_Ventas_Diarias'!$C$11:$C$610,$H57,'3_Ventas_Diarias'!$A$11:$A$610,"&gt;="&amp;'4_Dashboard_DAMABIS'!$P$5,'3_Ventas_Diarias'!$A$11:$A$610,"&lt;="&amp;'4_Dashboard_DAMABIS'!$P$6))</f>
        <v/>
      </c>
      <c r="L57" s="13">
        <f>IF($H57="","",SUMIFS('3_Ventas_Diarias'!$J$11:$J$610,'3_Ventas_Diarias'!$C$11:$C$610,$H57,'3_Ventas_Diarias'!$A$11:$A$610,"&gt;="&amp;'4_Dashboard_DAMABIS'!$P$5,'3_Ventas_Diarias'!$A$11:$A$610,"&lt;="&amp;'4_Dashboard_DAMABIS'!$P$6))</f>
        <v/>
      </c>
      <c r="M57" s="14">
        <f>IF($H57="","",N($K57)+ROW()/1000000)</f>
        <v/>
      </c>
    </row>
    <row r="58">
      <c r="H58" s="6">
        <f>IF('2_Control_de_Stock'!$A$65="","",'2_Control_de_Stock'!$A$65)</f>
        <v/>
      </c>
      <c r="I58" s="6">
        <f>IF('2_Control_de_Stock'!$A$65="","",'2_Control_de_Stock'!$B$65)</f>
        <v/>
      </c>
      <c r="J58" s="7">
        <f>IF($H58="","",SUMIFS('3_Ventas_Diarias'!$E$11:$E$610,'3_Ventas_Diarias'!$C$11:$C$610,$H58,'3_Ventas_Diarias'!$A$11:$A$610,"&gt;="&amp;'4_Dashboard_DAMABIS'!$P$5,'3_Ventas_Diarias'!$A$11:$A$610,"&lt;="&amp;'4_Dashboard_DAMABIS'!$P$6))</f>
        <v/>
      </c>
      <c r="K58" s="8">
        <f>IF($H58="","",SUMIFS('3_Ventas_Diarias'!$G$11:$G$610,'3_Ventas_Diarias'!$C$11:$C$610,$H58,'3_Ventas_Diarias'!$A$11:$A$610,"&gt;="&amp;'4_Dashboard_DAMABIS'!$P$5,'3_Ventas_Diarias'!$A$11:$A$610,"&lt;="&amp;'4_Dashboard_DAMABIS'!$P$6))</f>
        <v/>
      </c>
      <c r="L58" s="8">
        <f>IF($H58="","",SUMIFS('3_Ventas_Diarias'!$J$11:$J$610,'3_Ventas_Diarias'!$C$11:$C$610,$H58,'3_Ventas_Diarias'!$A$11:$A$610,"&gt;="&amp;'4_Dashboard_DAMABIS'!$P$5,'3_Ventas_Diarias'!$A$11:$A$610,"&lt;="&amp;'4_Dashboard_DAMABIS'!$P$6))</f>
        <v/>
      </c>
      <c r="M58" s="9">
        <f>IF($H58="","",N($K58)+ROW()/1000000)</f>
        <v/>
      </c>
    </row>
    <row r="59">
      <c r="H59" s="11">
        <f>IF('2_Control_de_Stock'!$A$66="","",'2_Control_de_Stock'!$A$66)</f>
        <v/>
      </c>
      <c r="I59" s="11">
        <f>IF('2_Control_de_Stock'!$A$66="","",'2_Control_de_Stock'!$B$66)</f>
        <v/>
      </c>
      <c r="J59" s="12">
        <f>IF($H59="","",SUMIFS('3_Ventas_Diarias'!$E$11:$E$610,'3_Ventas_Diarias'!$C$11:$C$610,$H59,'3_Ventas_Diarias'!$A$11:$A$610,"&gt;="&amp;'4_Dashboard_DAMABIS'!$P$5,'3_Ventas_Diarias'!$A$11:$A$610,"&lt;="&amp;'4_Dashboard_DAMABIS'!$P$6))</f>
        <v/>
      </c>
      <c r="K59" s="13">
        <f>IF($H59="","",SUMIFS('3_Ventas_Diarias'!$G$11:$G$610,'3_Ventas_Diarias'!$C$11:$C$610,$H59,'3_Ventas_Diarias'!$A$11:$A$610,"&gt;="&amp;'4_Dashboard_DAMABIS'!$P$5,'3_Ventas_Diarias'!$A$11:$A$610,"&lt;="&amp;'4_Dashboard_DAMABIS'!$P$6))</f>
        <v/>
      </c>
      <c r="L59" s="13">
        <f>IF($H59="","",SUMIFS('3_Ventas_Diarias'!$J$11:$J$610,'3_Ventas_Diarias'!$C$11:$C$610,$H59,'3_Ventas_Diarias'!$A$11:$A$610,"&gt;="&amp;'4_Dashboard_DAMABIS'!$P$5,'3_Ventas_Diarias'!$A$11:$A$610,"&lt;="&amp;'4_Dashboard_DAMABIS'!$P$6))</f>
        <v/>
      </c>
      <c r="M59" s="14">
        <f>IF($H59="","",N($K59)+ROW()/1000000)</f>
        <v/>
      </c>
    </row>
    <row r="60">
      <c r="H60" s="6">
        <f>IF('2_Control_de_Stock'!$A$67="","",'2_Control_de_Stock'!$A$67)</f>
        <v/>
      </c>
      <c r="I60" s="6">
        <f>IF('2_Control_de_Stock'!$A$67="","",'2_Control_de_Stock'!$B$67)</f>
        <v/>
      </c>
      <c r="J60" s="7">
        <f>IF($H60="","",SUMIFS('3_Ventas_Diarias'!$E$11:$E$610,'3_Ventas_Diarias'!$C$11:$C$610,$H60,'3_Ventas_Diarias'!$A$11:$A$610,"&gt;="&amp;'4_Dashboard_DAMABIS'!$P$5,'3_Ventas_Diarias'!$A$11:$A$610,"&lt;="&amp;'4_Dashboard_DAMABIS'!$P$6))</f>
        <v/>
      </c>
      <c r="K60" s="8">
        <f>IF($H60="","",SUMIFS('3_Ventas_Diarias'!$G$11:$G$610,'3_Ventas_Diarias'!$C$11:$C$610,$H60,'3_Ventas_Diarias'!$A$11:$A$610,"&gt;="&amp;'4_Dashboard_DAMABIS'!$P$5,'3_Ventas_Diarias'!$A$11:$A$610,"&lt;="&amp;'4_Dashboard_DAMABIS'!$P$6))</f>
        <v/>
      </c>
      <c r="L60" s="8">
        <f>IF($H60="","",SUMIFS('3_Ventas_Diarias'!$J$11:$J$610,'3_Ventas_Diarias'!$C$11:$C$610,$H60,'3_Ventas_Diarias'!$A$11:$A$610,"&gt;="&amp;'4_Dashboard_DAMABIS'!$P$5,'3_Ventas_Diarias'!$A$11:$A$610,"&lt;="&amp;'4_Dashboard_DAMABIS'!$P$6))</f>
        <v/>
      </c>
      <c r="M60" s="9">
        <f>IF($H60="","",N($K60)+ROW()/1000000)</f>
        <v/>
      </c>
    </row>
    <row r="61">
      <c r="H61" s="11">
        <f>IF('2_Control_de_Stock'!$A$68="","",'2_Control_de_Stock'!$A$68)</f>
        <v/>
      </c>
      <c r="I61" s="11">
        <f>IF('2_Control_de_Stock'!$A$68="","",'2_Control_de_Stock'!$B$68)</f>
        <v/>
      </c>
      <c r="J61" s="12">
        <f>IF($H61="","",SUMIFS('3_Ventas_Diarias'!$E$11:$E$610,'3_Ventas_Diarias'!$C$11:$C$610,$H61,'3_Ventas_Diarias'!$A$11:$A$610,"&gt;="&amp;'4_Dashboard_DAMABIS'!$P$5,'3_Ventas_Diarias'!$A$11:$A$610,"&lt;="&amp;'4_Dashboard_DAMABIS'!$P$6))</f>
        <v/>
      </c>
      <c r="K61" s="13">
        <f>IF($H61="","",SUMIFS('3_Ventas_Diarias'!$G$11:$G$610,'3_Ventas_Diarias'!$C$11:$C$610,$H61,'3_Ventas_Diarias'!$A$11:$A$610,"&gt;="&amp;'4_Dashboard_DAMABIS'!$P$5,'3_Ventas_Diarias'!$A$11:$A$610,"&lt;="&amp;'4_Dashboard_DAMABIS'!$P$6))</f>
        <v/>
      </c>
      <c r="L61" s="13">
        <f>IF($H61="","",SUMIFS('3_Ventas_Diarias'!$J$11:$J$610,'3_Ventas_Diarias'!$C$11:$C$610,$H61,'3_Ventas_Diarias'!$A$11:$A$610,"&gt;="&amp;'4_Dashboard_DAMABIS'!$P$5,'3_Ventas_Diarias'!$A$11:$A$610,"&lt;="&amp;'4_Dashboard_DAMABIS'!$P$6))</f>
        <v/>
      </c>
      <c r="M61" s="14">
        <f>IF($H61="","",N($K61)+ROW()/1000000)</f>
        <v/>
      </c>
    </row>
    <row r="62">
      <c r="H62" s="6">
        <f>IF('2_Control_de_Stock'!$A$69="","",'2_Control_de_Stock'!$A$69)</f>
        <v/>
      </c>
      <c r="I62" s="6">
        <f>IF('2_Control_de_Stock'!$A$69="","",'2_Control_de_Stock'!$B$69)</f>
        <v/>
      </c>
      <c r="J62" s="7">
        <f>IF($H62="","",SUMIFS('3_Ventas_Diarias'!$E$11:$E$610,'3_Ventas_Diarias'!$C$11:$C$610,$H62,'3_Ventas_Diarias'!$A$11:$A$610,"&gt;="&amp;'4_Dashboard_DAMABIS'!$P$5,'3_Ventas_Diarias'!$A$11:$A$610,"&lt;="&amp;'4_Dashboard_DAMABIS'!$P$6))</f>
        <v/>
      </c>
      <c r="K62" s="8">
        <f>IF($H62="","",SUMIFS('3_Ventas_Diarias'!$G$11:$G$610,'3_Ventas_Diarias'!$C$11:$C$610,$H62,'3_Ventas_Diarias'!$A$11:$A$610,"&gt;="&amp;'4_Dashboard_DAMABIS'!$P$5,'3_Ventas_Diarias'!$A$11:$A$610,"&lt;="&amp;'4_Dashboard_DAMABIS'!$P$6))</f>
        <v/>
      </c>
      <c r="L62" s="8">
        <f>IF($H62="","",SUMIFS('3_Ventas_Diarias'!$J$11:$J$610,'3_Ventas_Diarias'!$C$11:$C$610,$H62,'3_Ventas_Diarias'!$A$11:$A$610,"&gt;="&amp;'4_Dashboard_DAMABIS'!$P$5,'3_Ventas_Diarias'!$A$11:$A$610,"&lt;="&amp;'4_Dashboard_DAMABIS'!$P$6))</f>
        <v/>
      </c>
      <c r="M62" s="9">
        <f>IF($H62="","",N($K62)+ROW()/1000000)</f>
        <v/>
      </c>
    </row>
    <row r="63">
      <c r="H63" s="11">
        <f>IF('2_Control_de_Stock'!$A$70="","",'2_Control_de_Stock'!$A$70)</f>
        <v/>
      </c>
      <c r="I63" s="11">
        <f>IF('2_Control_de_Stock'!$A$70="","",'2_Control_de_Stock'!$B$70)</f>
        <v/>
      </c>
      <c r="J63" s="12">
        <f>IF($H63="","",SUMIFS('3_Ventas_Diarias'!$E$11:$E$610,'3_Ventas_Diarias'!$C$11:$C$610,$H63,'3_Ventas_Diarias'!$A$11:$A$610,"&gt;="&amp;'4_Dashboard_DAMABIS'!$P$5,'3_Ventas_Diarias'!$A$11:$A$610,"&lt;="&amp;'4_Dashboard_DAMABIS'!$P$6))</f>
        <v/>
      </c>
      <c r="K63" s="13">
        <f>IF($H63="","",SUMIFS('3_Ventas_Diarias'!$G$11:$G$610,'3_Ventas_Diarias'!$C$11:$C$610,$H63,'3_Ventas_Diarias'!$A$11:$A$610,"&gt;="&amp;'4_Dashboard_DAMABIS'!$P$5,'3_Ventas_Diarias'!$A$11:$A$610,"&lt;="&amp;'4_Dashboard_DAMABIS'!$P$6))</f>
        <v/>
      </c>
      <c r="L63" s="13">
        <f>IF($H63="","",SUMIFS('3_Ventas_Diarias'!$J$11:$J$610,'3_Ventas_Diarias'!$C$11:$C$610,$H63,'3_Ventas_Diarias'!$A$11:$A$610,"&gt;="&amp;'4_Dashboard_DAMABIS'!$P$5,'3_Ventas_Diarias'!$A$11:$A$610,"&lt;="&amp;'4_Dashboard_DAMABIS'!$P$6))</f>
        <v/>
      </c>
      <c r="M63" s="14">
        <f>IF($H63="","",N($K63)+ROW()/1000000)</f>
        <v/>
      </c>
    </row>
    <row r="64">
      <c r="H64" s="6">
        <f>IF('2_Control_de_Stock'!$A$71="","",'2_Control_de_Stock'!$A$71)</f>
        <v/>
      </c>
      <c r="I64" s="6">
        <f>IF('2_Control_de_Stock'!$A$71="","",'2_Control_de_Stock'!$B$71)</f>
        <v/>
      </c>
      <c r="J64" s="7">
        <f>IF($H64="","",SUMIFS('3_Ventas_Diarias'!$E$11:$E$610,'3_Ventas_Diarias'!$C$11:$C$610,$H64,'3_Ventas_Diarias'!$A$11:$A$610,"&gt;="&amp;'4_Dashboard_DAMABIS'!$P$5,'3_Ventas_Diarias'!$A$11:$A$610,"&lt;="&amp;'4_Dashboard_DAMABIS'!$P$6))</f>
        <v/>
      </c>
      <c r="K64" s="8">
        <f>IF($H64="","",SUMIFS('3_Ventas_Diarias'!$G$11:$G$610,'3_Ventas_Diarias'!$C$11:$C$610,$H64,'3_Ventas_Diarias'!$A$11:$A$610,"&gt;="&amp;'4_Dashboard_DAMABIS'!$P$5,'3_Ventas_Diarias'!$A$11:$A$610,"&lt;="&amp;'4_Dashboard_DAMABIS'!$P$6))</f>
        <v/>
      </c>
      <c r="L64" s="8">
        <f>IF($H64="","",SUMIFS('3_Ventas_Diarias'!$J$11:$J$610,'3_Ventas_Diarias'!$C$11:$C$610,$H64,'3_Ventas_Diarias'!$A$11:$A$610,"&gt;="&amp;'4_Dashboard_DAMABIS'!$P$5,'3_Ventas_Diarias'!$A$11:$A$610,"&lt;="&amp;'4_Dashboard_DAMABIS'!$P$6))</f>
        <v/>
      </c>
      <c r="M64" s="9">
        <f>IF($H64="","",N($K64)+ROW()/1000000)</f>
        <v/>
      </c>
    </row>
    <row r="65">
      <c r="H65" s="11">
        <f>IF('2_Control_de_Stock'!$A$72="","",'2_Control_de_Stock'!$A$72)</f>
        <v/>
      </c>
      <c r="I65" s="11">
        <f>IF('2_Control_de_Stock'!$A$72="","",'2_Control_de_Stock'!$B$72)</f>
        <v/>
      </c>
      <c r="J65" s="12">
        <f>IF($H65="","",SUMIFS('3_Ventas_Diarias'!$E$11:$E$610,'3_Ventas_Diarias'!$C$11:$C$610,$H65,'3_Ventas_Diarias'!$A$11:$A$610,"&gt;="&amp;'4_Dashboard_DAMABIS'!$P$5,'3_Ventas_Diarias'!$A$11:$A$610,"&lt;="&amp;'4_Dashboard_DAMABIS'!$P$6))</f>
        <v/>
      </c>
      <c r="K65" s="13">
        <f>IF($H65="","",SUMIFS('3_Ventas_Diarias'!$G$11:$G$610,'3_Ventas_Diarias'!$C$11:$C$610,$H65,'3_Ventas_Diarias'!$A$11:$A$610,"&gt;="&amp;'4_Dashboard_DAMABIS'!$P$5,'3_Ventas_Diarias'!$A$11:$A$610,"&lt;="&amp;'4_Dashboard_DAMABIS'!$P$6))</f>
        <v/>
      </c>
      <c r="L65" s="13">
        <f>IF($H65="","",SUMIFS('3_Ventas_Diarias'!$J$11:$J$610,'3_Ventas_Diarias'!$C$11:$C$610,$H65,'3_Ventas_Diarias'!$A$11:$A$610,"&gt;="&amp;'4_Dashboard_DAMABIS'!$P$5,'3_Ventas_Diarias'!$A$11:$A$610,"&lt;="&amp;'4_Dashboard_DAMABIS'!$P$6))</f>
        <v/>
      </c>
      <c r="M65" s="14">
        <f>IF($H65="","",N($K65)+ROW()/1000000)</f>
        <v/>
      </c>
    </row>
    <row r="66">
      <c r="H66" s="6">
        <f>IF('2_Control_de_Stock'!$A$73="","",'2_Control_de_Stock'!$A$73)</f>
        <v/>
      </c>
      <c r="I66" s="6">
        <f>IF('2_Control_de_Stock'!$A$73="","",'2_Control_de_Stock'!$B$73)</f>
        <v/>
      </c>
      <c r="J66" s="7">
        <f>IF($H66="","",SUMIFS('3_Ventas_Diarias'!$E$11:$E$610,'3_Ventas_Diarias'!$C$11:$C$610,$H66,'3_Ventas_Diarias'!$A$11:$A$610,"&gt;="&amp;'4_Dashboard_DAMABIS'!$P$5,'3_Ventas_Diarias'!$A$11:$A$610,"&lt;="&amp;'4_Dashboard_DAMABIS'!$P$6))</f>
        <v/>
      </c>
      <c r="K66" s="8">
        <f>IF($H66="","",SUMIFS('3_Ventas_Diarias'!$G$11:$G$610,'3_Ventas_Diarias'!$C$11:$C$610,$H66,'3_Ventas_Diarias'!$A$11:$A$610,"&gt;="&amp;'4_Dashboard_DAMABIS'!$P$5,'3_Ventas_Diarias'!$A$11:$A$610,"&lt;="&amp;'4_Dashboard_DAMABIS'!$P$6))</f>
        <v/>
      </c>
      <c r="L66" s="8">
        <f>IF($H66="","",SUMIFS('3_Ventas_Diarias'!$J$11:$J$610,'3_Ventas_Diarias'!$C$11:$C$610,$H66,'3_Ventas_Diarias'!$A$11:$A$610,"&gt;="&amp;'4_Dashboard_DAMABIS'!$P$5,'3_Ventas_Diarias'!$A$11:$A$610,"&lt;="&amp;'4_Dashboard_DAMABIS'!$P$6))</f>
        <v/>
      </c>
      <c r="M66" s="9">
        <f>IF($H66="","",N($K66)+ROW()/1000000)</f>
        <v/>
      </c>
    </row>
    <row r="67">
      <c r="H67" s="11">
        <f>IF('2_Control_de_Stock'!$A$74="","",'2_Control_de_Stock'!$A$74)</f>
        <v/>
      </c>
      <c r="I67" s="11">
        <f>IF('2_Control_de_Stock'!$A$74="","",'2_Control_de_Stock'!$B$74)</f>
        <v/>
      </c>
      <c r="J67" s="12">
        <f>IF($H67="","",SUMIFS('3_Ventas_Diarias'!$E$11:$E$610,'3_Ventas_Diarias'!$C$11:$C$610,$H67,'3_Ventas_Diarias'!$A$11:$A$610,"&gt;="&amp;'4_Dashboard_DAMABIS'!$P$5,'3_Ventas_Diarias'!$A$11:$A$610,"&lt;="&amp;'4_Dashboard_DAMABIS'!$P$6))</f>
        <v/>
      </c>
      <c r="K67" s="13">
        <f>IF($H67="","",SUMIFS('3_Ventas_Diarias'!$G$11:$G$610,'3_Ventas_Diarias'!$C$11:$C$610,$H67,'3_Ventas_Diarias'!$A$11:$A$610,"&gt;="&amp;'4_Dashboard_DAMABIS'!$P$5,'3_Ventas_Diarias'!$A$11:$A$610,"&lt;="&amp;'4_Dashboard_DAMABIS'!$P$6))</f>
        <v/>
      </c>
      <c r="L67" s="13">
        <f>IF($H67="","",SUMIFS('3_Ventas_Diarias'!$J$11:$J$610,'3_Ventas_Diarias'!$C$11:$C$610,$H67,'3_Ventas_Diarias'!$A$11:$A$610,"&gt;="&amp;'4_Dashboard_DAMABIS'!$P$5,'3_Ventas_Diarias'!$A$11:$A$610,"&lt;="&amp;'4_Dashboard_DAMABIS'!$P$6))</f>
        <v/>
      </c>
      <c r="M67" s="14">
        <f>IF($H67="","",N($K67)+ROW()/1000000)</f>
        <v/>
      </c>
    </row>
    <row r="68">
      <c r="H68" s="6">
        <f>IF('2_Control_de_Stock'!$A$75="","",'2_Control_de_Stock'!$A$75)</f>
        <v/>
      </c>
      <c r="I68" s="6">
        <f>IF('2_Control_de_Stock'!$A$75="","",'2_Control_de_Stock'!$B$75)</f>
        <v/>
      </c>
      <c r="J68" s="7">
        <f>IF($H68="","",SUMIFS('3_Ventas_Diarias'!$E$11:$E$610,'3_Ventas_Diarias'!$C$11:$C$610,$H68,'3_Ventas_Diarias'!$A$11:$A$610,"&gt;="&amp;'4_Dashboard_DAMABIS'!$P$5,'3_Ventas_Diarias'!$A$11:$A$610,"&lt;="&amp;'4_Dashboard_DAMABIS'!$P$6))</f>
        <v/>
      </c>
      <c r="K68" s="8">
        <f>IF($H68="","",SUMIFS('3_Ventas_Diarias'!$G$11:$G$610,'3_Ventas_Diarias'!$C$11:$C$610,$H68,'3_Ventas_Diarias'!$A$11:$A$610,"&gt;="&amp;'4_Dashboard_DAMABIS'!$P$5,'3_Ventas_Diarias'!$A$11:$A$610,"&lt;="&amp;'4_Dashboard_DAMABIS'!$P$6))</f>
        <v/>
      </c>
      <c r="L68" s="8">
        <f>IF($H68="","",SUMIFS('3_Ventas_Diarias'!$J$11:$J$610,'3_Ventas_Diarias'!$C$11:$C$610,$H68,'3_Ventas_Diarias'!$A$11:$A$610,"&gt;="&amp;'4_Dashboard_DAMABIS'!$P$5,'3_Ventas_Diarias'!$A$11:$A$610,"&lt;="&amp;'4_Dashboard_DAMABIS'!$P$6))</f>
        <v/>
      </c>
      <c r="M68" s="9">
        <f>IF($H68="","",N($K68)+ROW()/1000000)</f>
        <v/>
      </c>
    </row>
    <row r="69">
      <c r="H69" s="11">
        <f>IF('2_Control_de_Stock'!$A$76="","",'2_Control_de_Stock'!$A$76)</f>
        <v/>
      </c>
      <c r="I69" s="11">
        <f>IF('2_Control_de_Stock'!$A$76="","",'2_Control_de_Stock'!$B$76)</f>
        <v/>
      </c>
      <c r="J69" s="12">
        <f>IF($H69="","",SUMIFS('3_Ventas_Diarias'!$E$11:$E$610,'3_Ventas_Diarias'!$C$11:$C$610,$H69,'3_Ventas_Diarias'!$A$11:$A$610,"&gt;="&amp;'4_Dashboard_DAMABIS'!$P$5,'3_Ventas_Diarias'!$A$11:$A$610,"&lt;="&amp;'4_Dashboard_DAMABIS'!$P$6))</f>
        <v/>
      </c>
      <c r="K69" s="13">
        <f>IF($H69="","",SUMIFS('3_Ventas_Diarias'!$G$11:$G$610,'3_Ventas_Diarias'!$C$11:$C$610,$H69,'3_Ventas_Diarias'!$A$11:$A$610,"&gt;="&amp;'4_Dashboard_DAMABIS'!$P$5,'3_Ventas_Diarias'!$A$11:$A$610,"&lt;="&amp;'4_Dashboard_DAMABIS'!$P$6))</f>
        <v/>
      </c>
      <c r="L69" s="13">
        <f>IF($H69="","",SUMIFS('3_Ventas_Diarias'!$J$11:$J$610,'3_Ventas_Diarias'!$C$11:$C$610,$H69,'3_Ventas_Diarias'!$A$11:$A$610,"&gt;="&amp;'4_Dashboard_DAMABIS'!$P$5,'3_Ventas_Diarias'!$A$11:$A$610,"&lt;="&amp;'4_Dashboard_DAMABIS'!$P$6))</f>
        <v/>
      </c>
      <c r="M69" s="14">
        <f>IF($H69="","",N($K69)+ROW()/1000000)</f>
        <v/>
      </c>
    </row>
    <row r="70">
      <c r="H70" s="6">
        <f>IF('2_Control_de_Stock'!$A$77="","",'2_Control_de_Stock'!$A$77)</f>
        <v/>
      </c>
      <c r="I70" s="6">
        <f>IF('2_Control_de_Stock'!$A$77="","",'2_Control_de_Stock'!$B$77)</f>
        <v/>
      </c>
      <c r="J70" s="7">
        <f>IF($H70="","",SUMIFS('3_Ventas_Diarias'!$E$11:$E$610,'3_Ventas_Diarias'!$C$11:$C$610,$H70,'3_Ventas_Diarias'!$A$11:$A$610,"&gt;="&amp;'4_Dashboard_DAMABIS'!$P$5,'3_Ventas_Diarias'!$A$11:$A$610,"&lt;="&amp;'4_Dashboard_DAMABIS'!$P$6))</f>
        <v/>
      </c>
      <c r="K70" s="8">
        <f>IF($H70="","",SUMIFS('3_Ventas_Diarias'!$G$11:$G$610,'3_Ventas_Diarias'!$C$11:$C$610,$H70,'3_Ventas_Diarias'!$A$11:$A$610,"&gt;="&amp;'4_Dashboard_DAMABIS'!$P$5,'3_Ventas_Diarias'!$A$11:$A$610,"&lt;="&amp;'4_Dashboard_DAMABIS'!$P$6))</f>
        <v/>
      </c>
      <c r="L70" s="8">
        <f>IF($H70="","",SUMIFS('3_Ventas_Diarias'!$J$11:$J$610,'3_Ventas_Diarias'!$C$11:$C$610,$H70,'3_Ventas_Diarias'!$A$11:$A$610,"&gt;="&amp;'4_Dashboard_DAMABIS'!$P$5,'3_Ventas_Diarias'!$A$11:$A$610,"&lt;="&amp;'4_Dashboard_DAMABIS'!$P$6))</f>
        <v/>
      </c>
      <c r="M70" s="9">
        <f>IF($H70="","",N($K70)+ROW()/1000000)</f>
        <v/>
      </c>
    </row>
    <row r="71">
      <c r="H71" s="11">
        <f>IF('2_Control_de_Stock'!$A$78="","",'2_Control_de_Stock'!$A$78)</f>
        <v/>
      </c>
      <c r="I71" s="11">
        <f>IF('2_Control_de_Stock'!$A$78="","",'2_Control_de_Stock'!$B$78)</f>
        <v/>
      </c>
      <c r="J71" s="12">
        <f>IF($H71="","",SUMIFS('3_Ventas_Diarias'!$E$11:$E$610,'3_Ventas_Diarias'!$C$11:$C$610,$H71,'3_Ventas_Diarias'!$A$11:$A$610,"&gt;="&amp;'4_Dashboard_DAMABIS'!$P$5,'3_Ventas_Diarias'!$A$11:$A$610,"&lt;="&amp;'4_Dashboard_DAMABIS'!$P$6))</f>
        <v/>
      </c>
      <c r="K71" s="13">
        <f>IF($H71="","",SUMIFS('3_Ventas_Diarias'!$G$11:$G$610,'3_Ventas_Diarias'!$C$11:$C$610,$H71,'3_Ventas_Diarias'!$A$11:$A$610,"&gt;="&amp;'4_Dashboard_DAMABIS'!$P$5,'3_Ventas_Diarias'!$A$11:$A$610,"&lt;="&amp;'4_Dashboard_DAMABIS'!$P$6))</f>
        <v/>
      </c>
      <c r="L71" s="13">
        <f>IF($H71="","",SUMIFS('3_Ventas_Diarias'!$J$11:$J$610,'3_Ventas_Diarias'!$C$11:$C$610,$H71,'3_Ventas_Diarias'!$A$11:$A$610,"&gt;="&amp;'4_Dashboard_DAMABIS'!$P$5,'3_Ventas_Diarias'!$A$11:$A$610,"&lt;="&amp;'4_Dashboard_DAMABIS'!$P$6))</f>
        <v/>
      </c>
      <c r="M71" s="14">
        <f>IF($H71="","",N($K71)+ROW()/1000000)</f>
        <v/>
      </c>
    </row>
    <row r="72">
      <c r="H72" s="6">
        <f>IF('2_Control_de_Stock'!$A$79="","",'2_Control_de_Stock'!$A$79)</f>
        <v/>
      </c>
      <c r="I72" s="6">
        <f>IF('2_Control_de_Stock'!$A$79="","",'2_Control_de_Stock'!$B$79)</f>
        <v/>
      </c>
      <c r="J72" s="7">
        <f>IF($H72="","",SUMIFS('3_Ventas_Diarias'!$E$11:$E$610,'3_Ventas_Diarias'!$C$11:$C$610,$H72,'3_Ventas_Diarias'!$A$11:$A$610,"&gt;="&amp;'4_Dashboard_DAMABIS'!$P$5,'3_Ventas_Diarias'!$A$11:$A$610,"&lt;="&amp;'4_Dashboard_DAMABIS'!$P$6))</f>
        <v/>
      </c>
      <c r="K72" s="8">
        <f>IF($H72="","",SUMIFS('3_Ventas_Diarias'!$G$11:$G$610,'3_Ventas_Diarias'!$C$11:$C$610,$H72,'3_Ventas_Diarias'!$A$11:$A$610,"&gt;="&amp;'4_Dashboard_DAMABIS'!$P$5,'3_Ventas_Diarias'!$A$11:$A$610,"&lt;="&amp;'4_Dashboard_DAMABIS'!$P$6))</f>
        <v/>
      </c>
      <c r="L72" s="8">
        <f>IF($H72="","",SUMIFS('3_Ventas_Diarias'!$J$11:$J$610,'3_Ventas_Diarias'!$C$11:$C$610,$H72,'3_Ventas_Diarias'!$A$11:$A$610,"&gt;="&amp;'4_Dashboard_DAMABIS'!$P$5,'3_Ventas_Diarias'!$A$11:$A$610,"&lt;="&amp;'4_Dashboard_DAMABIS'!$P$6))</f>
        <v/>
      </c>
      <c r="M72" s="9">
        <f>IF($H72="","",N($K72)+ROW()/1000000)</f>
        <v/>
      </c>
    </row>
    <row r="73">
      <c r="H73" s="11">
        <f>IF('2_Control_de_Stock'!$A$80="","",'2_Control_de_Stock'!$A$80)</f>
        <v/>
      </c>
      <c r="I73" s="11">
        <f>IF('2_Control_de_Stock'!$A$80="","",'2_Control_de_Stock'!$B$80)</f>
        <v/>
      </c>
      <c r="J73" s="12">
        <f>IF($H73="","",SUMIFS('3_Ventas_Diarias'!$E$11:$E$610,'3_Ventas_Diarias'!$C$11:$C$610,$H73,'3_Ventas_Diarias'!$A$11:$A$610,"&gt;="&amp;'4_Dashboard_DAMABIS'!$P$5,'3_Ventas_Diarias'!$A$11:$A$610,"&lt;="&amp;'4_Dashboard_DAMABIS'!$P$6))</f>
        <v/>
      </c>
      <c r="K73" s="13">
        <f>IF($H73="","",SUMIFS('3_Ventas_Diarias'!$G$11:$G$610,'3_Ventas_Diarias'!$C$11:$C$610,$H73,'3_Ventas_Diarias'!$A$11:$A$610,"&gt;="&amp;'4_Dashboard_DAMABIS'!$P$5,'3_Ventas_Diarias'!$A$11:$A$610,"&lt;="&amp;'4_Dashboard_DAMABIS'!$P$6))</f>
        <v/>
      </c>
      <c r="L73" s="13">
        <f>IF($H73="","",SUMIFS('3_Ventas_Diarias'!$J$11:$J$610,'3_Ventas_Diarias'!$C$11:$C$610,$H73,'3_Ventas_Diarias'!$A$11:$A$610,"&gt;="&amp;'4_Dashboard_DAMABIS'!$P$5,'3_Ventas_Diarias'!$A$11:$A$610,"&lt;="&amp;'4_Dashboard_DAMABIS'!$P$6))</f>
        <v/>
      </c>
      <c r="M73" s="14">
        <f>IF($H73="","",N($K73)+ROW()/1000000)</f>
        <v/>
      </c>
    </row>
    <row r="74">
      <c r="H74" s="6">
        <f>IF('2_Control_de_Stock'!$A$81="","",'2_Control_de_Stock'!$A$81)</f>
        <v/>
      </c>
      <c r="I74" s="6">
        <f>IF('2_Control_de_Stock'!$A$81="","",'2_Control_de_Stock'!$B$81)</f>
        <v/>
      </c>
      <c r="J74" s="7">
        <f>IF($H74="","",SUMIFS('3_Ventas_Diarias'!$E$11:$E$610,'3_Ventas_Diarias'!$C$11:$C$610,$H74,'3_Ventas_Diarias'!$A$11:$A$610,"&gt;="&amp;'4_Dashboard_DAMABIS'!$P$5,'3_Ventas_Diarias'!$A$11:$A$610,"&lt;="&amp;'4_Dashboard_DAMABIS'!$P$6))</f>
        <v/>
      </c>
      <c r="K74" s="8">
        <f>IF($H74="","",SUMIFS('3_Ventas_Diarias'!$G$11:$G$610,'3_Ventas_Diarias'!$C$11:$C$610,$H74,'3_Ventas_Diarias'!$A$11:$A$610,"&gt;="&amp;'4_Dashboard_DAMABIS'!$P$5,'3_Ventas_Diarias'!$A$11:$A$610,"&lt;="&amp;'4_Dashboard_DAMABIS'!$P$6))</f>
        <v/>
      </c>
      <c r="L74" s="8">
        <f>IF($H74="","",SUMIFS('3_Ventas_Diarias'!$J$11:$J$610,'3_Ventas_Diarias'!$C$11:$C$610,$H74,'3_Ventas_Diarias'!$A$11:$A$610,"&gt;="&amp;'4_Dashboard_DAMABIS'!$P$5,'3_Ventas_Diarias'!$A$11:$A$610,"&lt;="&amp;'4_Dashboard_DAMABIS'!$P$6))</f>
        <v/>
      </c>
      <c r="M74" s="9">
        <f>IF($H74="","",N($K74)+ROW()/1000000)</f>
        <v/>
      </c>
    </row>
    <row r="75">
      <c r="H75" s="11">
        <f>IF('2_Control_de_Stock'!$A$82="","",'2_Control_de_Stock'!$A$82)</f>
        <v/>
      </c>
      <c r="I75" s="11">
        <f>IF('2_Control_de_Stock'!$A$82="","",'2_Control_de_Stock'!$B$82)</f>
        <v/>
      </c>
      <c r="J75" s="12">
        <f>IF($H75="","",SUMIFS('3_Ventas_Diarias'!$E$11:$E$610,'3_Ventas_Diarias'!$C$11:$C$610,$H75,'3_Ventas_Diarias'!$A$11:$A$610,"&gt;="&amp;'4_Dashboard_DAMABIS'!$P$5,'3_Ventas_Diarias'!$A$11:$A$610,"&lt;="&amp;'4_Dashboard_DAMABIS'!$P$6))</f>
        <v/>
      </c>
      <c r="K75" s="13">
        <f>IF($H75="","",SUMIFS('3_Ventas_Diarias'!$G$11:$G$610,'3_Ventas_Diarias'!$C$11:$C$610,$H75,'3_Ventas_Diarias'!$A$11:$A$610,"&gt;="&amp;'4_Dashboard_DAMABIS'!$P$5,'3_Ventas_Diarias'!$A$11:$A$610,"&lt;="&amp;'4_Dashboard_DAMABIS'!$P$6))</f>
        <v/>
      </c>
      <c r="L75" s="13">
        <f>IF($H75="","",SUMIFS('3_Ventas_Diarias'!$J$11:$J$610,'3_Ventas_Diarias'!$C$11:$C$610,$H75,'3_Ventas_Diarias'!$A$11:$A$610,"&gt;="&amp;'4_Dashboard_DAMABIS'!$P$5,'3_Ventas_Diarias'!$A$11:$A$610,"&lt;="&amp;'4_Dashboard_DAMABIS'!$P$6))</f>
        <v/>
      </c>
      <c r="M75" s="14">
        <f>IF($H75="","",N($K75)+ROW()/1000000)</f>
        <v/>
      </c>
    </row>
    <row r="76">
      <c r="H76" s="6">
        <f>IF('2_Control_de_Stock'!$A$83="","",'2_Control_de_Stock'!$A$83)</f>
        <v/>
      </c>
      <c r="I76" s="6">
        <f>IF('2_Control_de_Stock'!$A$83="","",'2_Control_de_Stock'!$B$83)</f>
        <v/>
      </c>
      <c r="J76" s="7">
        <f>IF($H76="","",SUMIFS('3_Ventas_Diarias'!$E$11:$E$610,'3_Ventas_Diarias'!$C$11:$C$610,$H76,'3_Ventas_Diarias'!$A$11:$A$610,"&gt;="&amp;'4_Dashboard_DAMABIS'!$P$5,'3_Ventas_Diarias'!$A$11:$A$610,"&lt;="&amp;'4_Dashboard_DAMABIS'!$P$6))</f>
        <v/>
      </c>
      <c r="K76" s="8">
        <f>IF($H76="","",SUMIFS('3_Ventas_Diarias'!$G$11:$G$610,'3_Ventas_Diarias'!$C$11:$C$610,$H76,'3_Ventas_Diarias'!$A$11:$A$610,"&gt;="&amp;'4_Dashboard_DAMABIS'!$P$5,'3_Ventas_Diarias'!$A$11:$A$610,"&lt;="&amp;'4_Dashboard_DAMABIS'!$P$6))</f>
        <v/>
      </c>
      <c r="L76" s="8">
        <f>IF($H76="","",SUMIFS('3_Ventas_Diarias'!$J$11:$J$610,'3_Ventas_Diarias'!$C$11:$C$610,$H76,'3_Ventas_Diarias'!$A$11:$A$610,"&gt;="&amp;'4_Dashboard_DAMABIS'!$P$5,'3_Ventas_Diarias'!$A$11:$A$610,"&lt;="&amp;'4_Dashboard_DAMABIS'!$P$6))</f>
        <v/>
      </c>
      <c r="M76" s="9">
        <f>IF($H76="","",N($K76)+ROW()/1000000)</f>
        <v/>
      </c>
    </row>
    <row r="77">
      <c r="H77" s="11">
        <f>IF('2_Control_de_Stock'!$A$84="","",'2_Control_de_Stock'!$A$84)</f>
        <v/>
      </c>
      <c r="I77" s="11">
        <f>IF('2_Control_de_Stock'!$A$84="","",'2_Control_de_Stock'!$B$84)</f>
        <v/>
      </c>
      <c r="J77" s="12">
        <f>IF($H77="","",SUMIFS('3_Ventas_Diarias'!$E$11:$E$610,'3_Ventas_Diarias'!$C$11:$C$610,$H77,'3_Ventas_Diarias'!$A$11:$A$610,"&gt;="&amp;'4_Dashboard_DAMABIS'!$P$5,'3_Ventas_Diarias'!$A$11:$A$610,"&lt;="&amp;'4_Dashboard_DAMABIS'!$P$6))</f>
        <v/>
      </c>
      <c r="K77" s="13">
        <f>IF($H77="","",SUMIFS('3_Ventas_Diarias'!$G$11:$G$610,'3_Ventas_Diarias'!$C$11:$C$610,$H77,'3_Ventas_Diarias'!$A$11:$A$610,"&gt;="&amp;'4_Dashboard_DAMABIS'!$P$5,'3_Ventas_Diarias'!$A$11:$A$610,"&lt;="&amp;'4_Dashboard_DAMABIS'!$P$6))</f>
        <v/>
      </c>
      <c r="L77" s="13">
        <f>IF($H77="","",SUMIFS('3_Ventas_Diarias'!$J$11:$J$610,'3_Ventas_Diarias'!$C$11:$C$610,$H77,'3_Ventas_Diarias'!$A$11:$A$610,"&gt;="&amp;'4_Dashboard_DAMABIS'!$P$5,'3_Ventas_Diarias'!$A$11:$A$610,"&lt;="&amp;'4_Dashboard_DAMABIS'!$P$6))</f>
        <v/>
      </c>
      <c r="M77" s="14">
        <f>IF($H77="","",N($K77)+ROW()/1000000)</f>
        <v/>
      </c>
    </row>
    <row r="78">
      <c r="H78" s="6">
        <f>IF('2_Control_de_Stock'!$A$85="","",'2_Control_de_Stock'!$A$85)</f>
        <v/>
      </c>
      <c r="I78" s="6">
        <f>IF('2_Control_de_Stock'!$A$85="","",'2_Control_de_Stock'!$B$85)</f>
        <v/>
      </c>
      <c r="J78" s="7">
        <f>IF($H78="","",SUMIFS('3_Ventas_Diarias'!$E$11:$E$610,'3_Ventas_Diarias'!$C$11:$C$610,$H78,'3_Ventas_Diarias'!$A$11:$A$610,"&gt;="&amp;'4_Dashboard_DAMABIS'!$P$5,'3_Ventas_Diarias'!$A$11:$A$610,"&lt;="&amp;'4_Dashboard_DAMABIS'!$P$6))</f>
        <v/>
      </c>
      <c r="K78" s="8">
        <f>IF($H78="","",SUMIFS('3_Ventas_Diarias'!$G$11:$G$610,'3_Ventas_Diarias'!$C$11:$C$610,$H78,'3_Ventas_Diarias'!$A$11:$A$610,"&gt;="&amp;'4_Dashboard_DAMABIS'!$P$5,'3_Ventas_Diarias'!$A$11:$A$610,"&lt;="&amp;'4_Dashboard_DAMABIS'!$P$6))</f>
        <v/>
      </c>
      <c r="L78" s="8">
        <f>IF($H78="","",SUMIFS('3_Ventas_Diarias'!$J$11:$J$610,'3_Ventas_Diarias'!$C$11:$C$610,$H78,'3_Ventas_Diarias'!$A$11:$A$610,"&gt;="&amp;'4_Dashboard_DAMABIS'!$P$5,'3_Ventas_Diarias'!$A$11:$A$610,"&lt;="&amp;'4_Dashboard_DAMABIS'!$P$6))</f>
        <v/>
      </c>
      <c r="M78" s="9">
        <f>IF($H78="","",N($K78)+ROW()/1000000)</f>
        <v/>
      </c>
    </row>
    <row r="79">
      <c r="H79" s="11">
        <f>IF('2_Control_de_Stock'!$A$86="","",'2_Control_de_Stock'!$A$86)</f>
        <v/>
      </c>
      <c r="I79" s="11">
        <f>IF('2_Control_de_Stock'!$A$86="","",'2_Control_de_Stock'!$B$86)</f>
        <v/>
      </c>
      <c r="J79" s="12">
        <f>IF($H79="","",SUMIFS('3_Ventas_Diarias'!$E$11:$E$610,'3_Ventas_Diarias'!$C$11:$C$610,$H79,'3_Ventas_Diarias'!$A$11:$A$610,"&gt;="&amp;'4_Dashboard_DAMABIS'!$P$5,'3_Ventas_Diarias'!$A$11:$A$610,"&lt;="&amp;'4_Dashboard_DAMABIS'!$P$6))</f>
        <v/>
      </c>
      <c r="K79" s="13">
        <f>IF($H79="","",SUMIFS('3_Ventas_Diarias'!$G$11:$G$610,'3_Ventas_Diarias'!$C$11:$C$610,$H79,'3_Ventas_Diarias'!$A$11:$A$610,"&gt;="&amp;'4_Dashboard_DAMABIS'!$P$5,'3_Ventas_Diarias'!$A$11:$A$610,"&lt;="&amp;'4_Dashboard_DAMABIS'!$P$6))</f>
        <v/>
      </c>
      <c r="L79" s="13">
        <f>IF($H79="","",SUMIFS('3_Ventas_Diarias'!$J$11:$J$610,'3_Ventas_Diarias'!$C$11:$C$610,$H79,'3_Ventas_Diarias'!$A$11:$A$610,"&gt;="&amp;'4_Dashboard_DAMABIS'!$P$5,'3_Ventas_Diarias'!$A$11:$A$610,"&lt;="&amp;'4_Dashboard_DAMABIS'!$P$6))</f>
        <v/>
      </c>
      <c r="M79" s="14">
        <f>IF($H79="","",N($K79)+ROW()/1000000)</f>
        <v/>
      </c>
    </row>
    <row r="80">
      <c r="H80" s="6">
        <f>IF('2_Control_de_Stock'!$A$87="","",'2_Control_de_Stock'!$A$87)</f>
        <v/>
      </c>
      <c r="I80" s="6">
        <f>IF('2_Control_de_Stock'!$A$87="","",'2_Control_de_Stock'!$B$87)</f>
        <v/>
      </c>
      <c r="J80" s="7">
        <f>IF($H80="","",SUMIFS('3_Ventas_Diarias'!$E$11:$E$610,'3_Ventas_Diarias'!$C$11:$C$610,$H80,'3_Ventas_Diarias'!$A$11:$A$610,"&gt;="&amp;'4_Dashboard_DAMABIS'!$P$5,'3_Ventas_Diarias'!$A$11:$A$610,"&lt;="&amp;'4_Dashboard_DAMABIS'!$P$6))</f>
        <v/>
      </c>
      <c r="K80" s="8">
        <f>IF($H80="","",SUMIFS('3_Ventas_Diarias'!$G$11:$G$610,'3_Ventas_Diarias'!$C$11:$C$610,$H80,'3_Ventas_Diarias'!$A$11:$A$610,"&gt;="&amp;'4_Dashboard_DAMABIS'!$P$5,'3_Ventas_Diarias'!$A$11:$A$610,"&lt;="&amp;'4_Dashboard_DAMABIS'!$P$6))</f>
        <v/>
      </c>
      <c r="L80" s="8">
        <f>IF($H80="","",SUMIFS('3_Ventas_Diarias'!$J$11:$J$610,'3_Ventas_Diarias'!$C$11:$C$610,$H80,'3_Ventas_Diarias'!$A$11:$A$610,"&gt;="&amp;'4_Dashboard_DAMABIS'!$P$5,'3_Ventas_Diarias'!$A$11:$A$610,"&lt;="&amp;'4_Dashboard_DAMABIS'!$P$6))</f>
        <v/>
      </c>
      <c r="M80" s="9">
        <f>IF($H80="","",N($K80)+ROW()/1000000)</f>
        <v/>
      </c>
    </row>
    <row r="81">
      <c r="H81" s="11">
        <f>IF('2_Control_de_Stock'!$A$88="","",'2_Control_de_Stock'!$A$88)</f>
        <v/>
      </c>
      <c r="I81" s="11">
        <f>IF('2_Control_de_Stock'!$A$88="","",'2_Control_de_Stock'!$B$88)</f>
        <v/>
      </c>
      <c r="J81" s="12">
        <f>IF($H81="","",SUMIFS('3_Ventas_Diarias'!$E$11:$E$610,'3_Ventas_Diarias'!$C$11:$C$610,$H81,'3_Ventas_Diarias'!$A$11:$A$610,"&gt;="&amp;'4_Dashboard_DAMABIS'!$P$5,'3_Ventas_Diarias'!$A$11:$A$610,"&lt;="&amp;'4_Dashboard_DAMABIS'!$P$6))</f>
        <v/>
      </c>
      <c r="K81" s="13">
        <f>IF($H81="","",SUMIFS('3_Ventas_Diarias'!$G$11:$G$610,'3_Ventas_Diarias'!$C$11:$C$610,$H81,'3_Ventas_Diarias'!$A$11:$A$610,"&gt;="&amp;'4_Dashboard_DAMABIS'!$P$5,'3_Ventas_Diarias'!$A$11:$A$610,"&lt;="&amp;'4_Dashboard_DAMABIS'!$P$6))</f>
        <v/>
      </c>
      <c r="L81" s="13">
        <f>IF($H81="","",SUMIFS('3_Ventas_Diarias'!$J$11:$J$610,'3_Ventas_Diarias'!$C$11:$C$610,$H81,'3_Ventas_Diarias'!$A$11:$A$610,"&gt;="&amp;'4_Dashboard_DAMABIS'!$P$5,'3_Ventas_Diarias'!$A$11:$A$610,"&lt;="&amp;'4_Dashboard_DAMABIS'!$P$6))</f>
        <v/>
      </c>
      <c r="M81" s="14">
        <f>IF($H81="","",N($K81)+ROW()/1000000)</f>
        <v/>
      </c>
    </row>
    <row r="82">
      <c r="H82" s="6">
        <f>IF('2_Control_de_Stock'!$A$89="","",'2_Control_de_Stock'!$A$89)</f>
        <v/>
      </c>
      <c r="I82" s="6">
        <f>IF('2_Control_de_Stock'!$A$89="","",'2_Control_de_Stock'!$B$89)</f>
        <v/>
      </c>
      <c r="J82" s="7">
        <f>IF($H82="","",SUMIFS('3_Ventas_Diarias'!$E$11:$E$610,'3_Ventas_Diarias'!$C$11:$C$610,$H82,'3_Ventas_Diarias'!$A$11:$A$610,"&gt;="&amp;'4_Dashboard_DAMABIS'!$P$5,'3_Ventas_Diarias'!$A$11:$A$610,"&lt;="&amp;'4_Dashboard_DAMABIS'!$P$6))</f>
        <v/>
      </c>
      <c r="K82" s="8">
        <f>IF($H82="","",SUMIFS('3_Ventas_Diarias'!$G$11:$G$610,'3_Ventas_Diarias'!$C$11:$C$610,$H82,'3_Ventas_Diarias'!$A$11:$A$610,"&gt;="&amp;'4_Dashboard_DAMABIS'!$P$5,'3_Ventas_Diarias'!$A$11:$A$610,"&lt;="&amp;'4_Dashboard_DAMABIS'!$P$6))</f>
        <v/>
      </c>
      <c r="L82" s="8">
        <f>IF($H82="","",SUMIFS('3_Ventas_Diarias'!$J$11:$J$610,'3_Ventas_Diarias'!$C$11:$C$610,$H82,'3_Ventas_Diarias'!$A$11:$A$610,"&gt;="&amp;'4_Dashboard_DAMABIS'!$P$5,'3_Ventas_Diarias'!$A$11:$A$610,"&lt;="&amp;'4_Dashboard_DAMABIS'!$P$6))</f>
        <v/>
      </c>
      <c r="M82" s="9">
        <f>IF($H82="","",N($K82)+ROW()/1000000)</f>
        <v/>
      </c>
    </row>
    <row r="83">
      <c r="H83" s="11">
        <f>IF('2_Control_de_Stock'!$A$90="","",'2_Control_de_Stock'!$A$90)</f>
        <v/>
      </c>
      <c r="I83" s="11">
        <f>IF('2_Control_de_Stock'!$A$90="","",'2_Control_de_Stock'!$B$90)</f>
        <v/>
      </c>
      <c r="J83" s="12">
        <f>IF($H83="","",SUMIFS('3_Ventas_Diarias'!$E$11:$E$610,'3_Ventas_Diarias'!$C$11:$C$610,$H83,'3_Ventas_Diarias'!$A$11:$A$610,"&gt;="&amp;'4_Dashboard_DAMABIS'!$P$5,'3_Ventas_Diarias'!$A$11:$A$610,"&lt;="&amp;'4_Dashboard_DAMABIS'!$P$6))</f>
        <v/>
      </c>
      <c r="K83" s="13">
        <f>IF($H83="","",SUMIFS('3_Ventas_Diarias'!$G$11:$G$610,'3_Ventas_Diarias'!$C$11:$C$610,$H83,'3_Ventas_Diarias'!$A$11:$A$610,"&gt;="&amp;'4_Dashboard_DAMABIS'!$P$5,'3_Ventas_Diarias'!$A$11:$A$610,"&lt;="&amp;'4_Dashboard_DAMABIS'!$P$6))</f>
        <v/>
      </c>
      <c r="L83" s="13">
        <f>IF($H83="","",SUMIFS('3_Ventas_Diarias'!$J$11:$J$610,'3_Ventas_Diarias'!$C$11:$C$610,$H83,'3_Ventas_Diarias'!$A$11:$A$610,"&gt;="&amp;'4_Dashboard_DAMABIS'!$P$5,'3_Ventas_Diarias'!$A$11:$A$610,"&lt;="&amp;'4_Dashboard_DAMABIS'!$P$6))</f>
        <v/>
      </c>
      <c r="M83" s="14">
        <f>IF($H83="","",N($K83)+ROW()/1000000)</f>
        <v/>
      </c>
    </row>
    <row r="84">
      <c r="H84" s="6">
        <f>IF('2_Control_de_Stock'!$A$91="","",'2_Control_de_Stock'!$A$91)</f>
        <v/>
      </c>
      <c r="I84" s="6">
        <f>IF('2_Control_de_Stock'!$A$91="","",'2_Control_de_Stock'!$B$91)</f>
        <v/>
      </c>
      <c r="J84" s="7">
        <f>IF($H84="","",SUMIFS('3_Ventas_Diarias'!$E$11:$E$610,'3_Ventas_Diarias'!$C$11:$C$610,$H84,'3_Ventas_Diarias'!$A$11:$A$610,"&gt;="&amp;'4_Dashboard_DAMABIS'!$P$5,'3_Ventas_Diarias'!$A$11:$A$610,"&lt;="&amp;'4_Dashboard_DAMABIS'!$P$6))</f>
        <v/>
      </c>
      <c r="K84" s="8">
        <f>IF($H84="","",SUMIFS('3_Ventas_Diarias'!$G$11:$G$610,'3_Ventas_Diarias'!$C$11:$C$610,$H84,'3_Ventas_Diarias'!$A$11:$A$610,"&gt;="&amp;'4_Dashboard_DAMABIS'!$P$5,'3_Ventas_Diarias'!$A$11:$A$610,"&lt;="&amp;'4_Dashboard_DAMABIS'!$P$6))</f>
        <v/>
      </c>
      <c r="L84" s="8">
        <f>IF($H84="","",SUMIFS('3_Ventas_Diarias'!$J$11:$J$610,'3_Ventas_Diarias'!$C$11:$C$610,$H84,'3_Ventas_Diarias'!$A$11:$A$610,"&gt;="&amp;'4_Dashboard_DAMABIS'!$P$5,'3_Ventas_Diarias'!$A$11:$A$610,"&lt;="&amp;'4_Dashboard_DAMABIS'!$P$6))</f>
        <v/>
      </c>
      <c r="M84" s="9">
        <f>IF($H84="","",N($K84)+ROW()/1000000)</f>
        <v/>
      </c>
    </row>
    <row r="85">
      <c r="H85" s="11">
        <f>IF('2_Control_de_Stock'!$A$92="","",'2_Control_de_Stock'!$A$92)</f>
        <v/>
      </c>
      <c r="I85" s="11">
        <f>IF('2_Control_de_Stock'!$A$92="","",'2_Control_de_Stock'!$B$92)</f>
        <v/>
      </c>
      <c r="J85" s="12">
        <f>IF($H85="","",SUMIFS('3_Ventas_Diarias'!$E$11:$E$610,'3_Ventas_Diarias'!$C$11:$C$610,$H85,'3_Ventas_Diarias'!$A$11:$A$610,"&gt;="&amp;'4_Dashboard_DAMABIS'!$P$5,'3_Ventas_Diarias'!$A$11:$A$610,"&lt;="&amp;'4_Dashboard_DAMABIS'!$P$6))</f>
        <v/>
      </c>
      <c r="K85" s="13">
        <f>IF($H85="","",SUMIFS('3_Ventas_Diarias'!$G$11:$G$610,'3_Ventas_Diarias'!$C$11:$C$610,$H85,'3_Ventas_Diarias'!$A$11:$A$610,"&gt;="&amp;'4_Dashboard_DAMABIS'!$P$5,'3_Ventas_Diarias'!$A$11:$A$610,"&lt;="&amp;'4_Dashboard_DAMABIS'!$P$6))</f>
        <v/>
      </c>
      <c r="L85" s="13">
        <f>IF($H85="","",SUMIFS('3_Ventas_Diarias'!$J$11:$J$610,'3_Ventas_Diarias'!$C$11:$C$610,$H85,'3_Ventas_Diarias'!$A$11:$A$610,"&gt;="&amp;'4_Dashboard_DAMABIS'!$P$5,'3_Ventas_Diarias'!$A$11:$A$610,"&lt;="&amp;'4_Dashboard_DAMABIS'!$P$6))</f>
        <v/>
      </c>
      <c r="M85" s="14">
        <f>IF($H85="","",N($K85)+ROW()/1000000)</f>
        <v/>
      </c>
    </row>
    <row r="86">
      <c r="H86" s="6">
        <f>IF('2_Control_de_Stock'!$A$93="","",'2_Control_de_Stock'!$A$93)</f>
        <v/>
      </c>
      <c r="I86" s="6">
        <f>IF('2_Control_de_Stock'!$A$93="","",'2_Control_de_Stock'!$B$93)</f>
        <v/>
      </c>
      <c r="J86" s="7">
        <f>IF($H86="","",SUMIFS('3_Ventas_Diarias'!$E$11:$E$610,'3_Ventas_Diarias'!$C$11:$C$610,$H86,'3_Ventas_Diarias'!$A$11:$A$610,"&gt;="&amp;'4_Dashboard_DAMABIS'!$P$5,'3_Ventas_Diarias'!$A$11:$A$610,"&lt;="&amp;'4_Dashboard_DAMABIS'!$P$6))</f>
        <v/>
      </c>
      <c r="K86" s="8">
        <f>IF($H86="","",SUMIFS('3_Ventas_Diarias'!$G$11:$G$610,'3_Ventas_Diarias'!$C$11:$C$610,$H86,'3_Ventas_Diarias'!$A$11:$A$610,"&gt;="&amp;'4_Dashboard_DAMABIS'!$P$5,'3_Ventas_Diarias'!$A$11:$A$610,"&lt;="&amp;'4_Dashboard_DAMABIS'!$P$6))</f>
        <v/>
      </c>
      <c r="L86" s="8">
        <f>IF($H86="","",SUMIFS('3_Ventas_Diarias'!$J$11:$J$610,'3_Ventas_Diarias'!$C$11:$C$610,$H86,'3_Ventas_Diarias'!$A$11:$A$610,"&gt;="&amp;'4_Dashboard_DAMABIS'!$P$5,'3_Ventas_Diarias'!$A$11:$A$610,"&lt;="&amp;'4_Dashboard_DAMABIS'!$P$6))</f>
        <v/>
      </c>
      <c r="M86" s="9">
        <f>IF($H86="","",N($K86)+ROW()/1000000)</f>
        <v/>
      </c>
    </row>
    <row r="87">
      <c r="H87" s="11">
        <f>IF('2_Control_de_Stock'!$A$94="","",'2_Control_de_Stock'!$A$94)</f>
        <v/>
      </c>
      <c r="I87" s="11">
        <f>IF('2_Control_de_Stock'!$A$94="","",'2_Control_de_Stock'!$B$94)</f>
        <v/>
      </c>
      <c r="J87" s="12">
        <f>IF($H87="","",SUMIFS('3_Ventas_Diarias'!$E$11:$E$610,'3_Ventas_Diarias'!$C$11:$C$610,$H87,'3_Ventas_Diarias'!$A$11:$A$610,"&gt;="&amp;'4_Dashboard_DAMABIS'!$P$5,'3_Ventas_Diarias'!$A$11:$A$610,"&lt;="&amp;'4_Dashboard_DAMABIS'!$P$6))</f>
        <v/>
      </c>
      <c r="K87" s="13">
        <f>IF($H87="","",SUMIFS('3_Ventas_Diarias'!$G$11:$G$610,'3_Ventas_Diarias'!$C$11:$C$610,$H87,'3_Ventas_Diarias'!$A$11:$A$610,"&gt;="&amp;'4_Dashboard_DAMABIS'!$P$5,'3_Ventas_Diarias'!$A$11:$A$610,"&lt;="&amp;'4_Dashboard_DAMABIS'!$P$6))</f>
        <v/>
      </c>
      <c r="L87" s="13">
        <f>IF($H87="","",SUMIFS('3_Ventas_Diarias'!$J$11:$J$610,'3_Ventas_Diarias'!$C$11:$C$610,$H87,'3_Ventas_Diarias'!$A$11:$A$610,"&gt;="&amp;'4_Dashboard_DAMABIS'!$P$5,'3_Ventas_Diarias'!$A$11:$A$610,"&lt;="&amp;'4_Dashboard_DAMABIS'!$P$6))</f>
        <v/>
      </c>
      <c r="M87" s="14">
        <f>IF($H87="","",N($K87)+ROW()/1000000)</f>
        <v/>
      </c>
    </row>
    <row r="88">
      <c r="H88" s="6">
        <f>IF('2_Control_de_Stock'!$A$95="","",'2_Control_de_Stock'!$A$95)</f>
        <v/>
      </c>
      <c r="I88" s="6">
        <f>IF('2_Control_de_Stock'!$A$95="","",'2_Control_de_Stock'!$B$95)</f>
        <v/>
      </c>
      <c r="J88" s="7">
        <f>IF($H88="","",SUMIFS('3_Ventas_Diarias'!$E$11:$E$610,'3_Ventas_Diarias'!$C$11:$C$610,$H88,'3_Ventas_Diarias'!$A$11:$A$610,"&gt;="&amp;'4_Dashboard_DAMABIS'!$P$5,'3_Ventas_Diarias'!$A$11:$A$610,"&lt;="&amp;'4_Dashboard_DAMABIS'!$P$6))</f>
        <v/>
      </c>
      <c r="K88" s="8">
        <f>IF($H88="","",SUMIFS('3_Ventas_Diarias'!$G$11:$G$610,'3_Ventas_Diarias'!$C$11:$C$610,$H88,'3_Ventas_Diarias'!$A$11:$A$610,"&gt;="&amp;'4_Dashboard_DAMABIS'!$P$5,'3_Ventas_Diarias'!$A$11:$A$610,"&lt;="&amp;'4_Dashboard_DAMABIS'!$P$6))</f>
        <v/>
      </c>
      <c r="L88" s="8">
        <f>IF($H88="","",SUMIFS('3_Ventas_Diarias'!$J$11:$J$610,'3_Ventas_Diarias'!$C$11:$C$610,$H88,'3_Ventas_Diarias'!$A$11:$A$610,"&gt;="&amp;'4_Dashboard_DAMABIS'!$P$5,'3_Ventas_Diarias'!$A$11:$A$610,"&lt;="&amp;'4_Dashboard_DAMABIS'!$P$6))</f>
        <v/>
      </c>
      <c r="M88" s="9">
        <f>IF($H88="","",N($K88)+ROW()/1000000)</f>
        <v/>
      </c>
    </row>
    <row r="89">
      <c r="H89" s="11">
        <f>IF('2_Control_de_Stock'!$A$96="","",'2_Control_de_Stock'!$A$96)</f>
        <v/>
      </c>
      <c r="I89" s="11">
        <f>IF('2_Control_de_Stock'!$A$96="","",'2_Control_de_Stock'!$B$96)</f>
        <v/>
      </c>
      <c r="J89" s="12">
        <f>IF($H89="","",SUMIFS('3_Ventas_Diarias'!$E$11:$E$610,'3_Ventas_Diarias'!$C$11:$C$610,$H89,'3_Ventas_Diarias'!$A$11:$A$610,"&gt;="&amp;'4_Dashboard_DAMABIS'!$P$5,'3_Ventas_Diarias'!$A$11:$A$610,"&lt;="&amp;'4_Dashboard_DAMABIS'!$P$6))</f>
        <v/>
      </c>
      <c r="K89" s="13">
        <f>IF($H89="","",SUMIFS('3_Ventas_Diarias'!$G$11:$G$610,'3_Ventas_Diarias'!$C$11:$C$610,$H89,'3_Ventas_Diarias'!$A$11:$A$610,"&gt;="&amp;'4_Dashboard_DAMABIS'!$P$5,'3_Ventas_Diarias'!$A$11:$A$610,"&lt;="&amp;'4_Dashboard_DAMABIS'!$P$6))</f>
        <v/>
      </c>
      <c r="L89" s="13">
        <f>IF($H89="","",SUMIFS('3_Ventas_Diarias'!$J$11:$J$610,'3_Ventas_Diarias'!$C$11:$C$610,$H89,'3_Ventas_Diarias'!$A$11:$A$610,"&gt;="&amp;'4_Dashboard_DAMABIS'!$P$5,'3_Ventas_Diarias'!$A$11:$A$610,"&lt;="&amp;'4_Dashboard_DAMABIS'!$P$6))</f>
        <v/>
      </c>
      <c r="M89" s="14">
        <f>IF($H89="","",N($K89)+ROW()/1000000)</f>
        <v/>
      </c>
    </row>
    <row r="90">
      <c r="H90" s="6">
        <f>IF('2_Control_de_Stock'!$A$97="","",'2_Control_de_Stock'!$A$97)</f>
        <v/>
      </c>
      <c r="I90" s="6">
        <f>IF('2_Control_de_Stock'!$A$97="","",'2_Control_de_Stock'!$B$97)</f>
        <v/>
      </c>
      <c r="J90" s="7">
        <f>IF($H90="","",SUMIFS('3_Ventas_Diarias'!$E$11:$E$610,'3_Ventas_Diarias'!$C$11:$C$610,$H90,'3_Ventas_Diarias'!$A$11:$A$610,"&gt;="&amp;'4_Dashboard_DAMABIS'!$P$5,'3_Ventas_Diarias'!$A$11:$A$610,"&lt;="&amp;'4_Dashboard_DAMABIS'!$P$6))</f>
        <v/>
      </c>
      <c r="K90" s="8">
        <f>IF($H90="","",SUMIFS('3_Ventas_Diarias'!$G$11:$G$610,'3_Ventas_Diarias'!$C$11:$C$610,$H90,'3_Ventas_Diarias'!$A$11:$A$610,"&gt;="&amp;'4_Dashboard_DAMABIS'!$P$5,'3_Ventas_Diarias'!$A$11:$A$610,"&lt;="&amp;'4_Dashboard_DAMABIS'!$P$6))</f>
        <v/>
      </c>
      <c r="L90" s="8">
        <f>IF($H90="","",SUMIFS('3_Ventas_Diarias'!$J$11:$J$610,'3_Ventas_Diarias'!$C$11:$C$610,$H90,'3_Ventas_Diarias'!$A$11:$A$610,"&gt;="&amp;'4_Dashboard_DAMABIS'!$P$5,'3_Ventas_Diarias'!$A$11:$A$610,"&lt;="&amp;'4_Dashboard_DAMABIS'!$P$6))</f>
        <v/>
      </c>
      <c r="M90" s="9">
        <f>IF($H90="","",N($K90)+ROW()/1000000)</f>
        <v/>
      </c>
    </row>
    <row r="91">
      <c r="H91" s="11">
        <f>IF('2_Control_de_Stock'!$A$98="","",'2_Control_de_Stock'!$A$98)</f>
        <v/>
      </c>
      <c r="I91" s="11">
        <f>IF('2_Control_de_Stock'!$A$98="","",'2_Control_de_Stock'!$B$98)</f>
        <v/>
      </c>
      <c r="J91" s="12">
        <f>IF($H91="","",SUMIFS('3_Ventas_Diarias'!$E$11:$E$610,'3_Ventas_Diarias'!$C$11:$C$610,$H91,'3_Ventas_Diarias'!$A$11:$A$610,"&gt;="&amp;'4_Dashboard_DAMABIS'!$P$5,'3_Ventas_Diarias'!$A$11:$A$610,"&lt;="&amp;'4_Dashboard_DAMABIS'!$P$6))</f>
        <v/>
      </c>
      <c r="K91" s="13">
        <f>IF($H91="","",SUMIFS('3_Ventas_Diarias'!$G$11:$G$610,'3_Ventas_Diarias'!$C$11:$C$610,$H91,'3_Ventas_Diarias'!$A$11:$A$610,"&gt;="&amp;'4_Dashboard_DAMABIS'!$P$5,'3_Ventas_Diarias'!$A$11:$A$610,"&lt;="&amp;'4_Dashboard_DAMABIS'!$P$6))</f>
        <v/>
      </c>
      <c r="L91" s="13">
        <f>IF($H91="","",SUMIFS('3_Ventas_Diarias'!$J$11:$J$610,'3_Ventas_Diarias'!$C$11:$C$610,$H91,'3_Ventas_Diarias'!$A$11:$A$610,"&gt;="&amp;'4_Dashboard_DAMABIS'!$P$5,'3_Ventas_Diarias'!$A$11:$A$610,"&lt;="&amp;'4_Dashboard_DAMABIS'!$P$6))</f>
        <v/>
      </c>
      <c r="M91" s="14">
        <f>IF($H91="","",N($K91)+ROW()/1000000)</f>
        <v/>
      </c>
    </row>
    <row r="92">
      <c r="H92" s="6">
        <f>IF('2_Control_de_Stock'!$A$99="","",'2_Control_de_Stock'!$A$99)</f>
        <v/>
      </c>
      <c r="I92" s="6">
        <f>IF('2_Control_de_Stock'!$A$99="","",'2_Control_de_Stock'!$B$99)</f>
        <v/>
      </c>
      <c r="J92" s="7">
        <f>IF($H92="","",SUMIFS('3_Ventas_Diarias'!$E$11:$E$610,'3_Ventas_Diarias'!$C$11:$C$610,$H92,'3_Ventas_Diarias'!$A$11:$A$610,"&gt;="&amp;'4_Dashboard_DAMABIS'!$P$5,'3_Ventas_Diarias'!$A$11:$A$610,"&lt;="&amp;'4_Dashboard_DAMABIS'!$P$6))</f>
        <v/>
      </c>
      <c r="K92" s="8">
        <f>IF($H92="","",SUMIFS('3_Ventas_Diarias'!$G$11:$G$610,'3_Ventas_Diarias'!$C$11:$C$610,$H92,'3_Ventas_Diarias'!$A$11:$A$610,"&gt;="&amp;'4_Dashboard_DAMABIS'!$P$5,'3_Ventas_Diarias'!$A$11:$A$610,"&lt;="&amp;'4_Dashboard_DAMABIS'!$P$6))</f>
        <v/>
      </c>
      <c r="L92" s="8">
        <f>IF($H92="","",SUMIFS('3_Ventas_Diarias'!$J$11:$J$610,'3_Ventas_Diarias'!$C$11:$C$610,$H92,'3_Ventas_Diarias'!$A$11:$A$610,"&gt;="&amp;'4_Dashboard_DAMABIS'!$P$5,'3_Ventas_Diarias'!$A$11:$A$610,"&lt;="&amp;'4_Dashboard_DAMABIS'!$P$6))</f>
        <v/>
      </c>
      <c r="M92" s="9">
        <f>IF($H92="","",N($K92)+ROW()/1000000)</f>
        <v/>
      </c>
    </row>
    <row r="93">
      <c r="H93" s="11">
        <f>IF('2_Control_de_Stock'!$A$100="","",'2_Control_de_Stock'!$A$100)</f>
        <v/>
      </c>
      <c r="I93" s="11">
        <f>IF('2_Control_de_Stock'!$A$100="","",'2_Control_de_Stock'!$B$100)</f>
        <v/>
      </c>
      <c r="J93" s="12">
        <f>IF($H93="","",SUMIFS('3_Ventas_Diarias'!$E$11:$E$610,'3_Ventas_Diarias'!$C$11:$C$610,$H93,'3_Ventas_Diarias'!$A$11:$A$610,"&gt;="&amp;'4_Dashboard_DAMABIS'!$P$5,'3_Ventas_Diarias'!$A$11:$A$610,"&lt;="&amp;'4_Dashboard_DAMABIS'!$P$6))</f>
        <v/>
      </c>
      <c r="K93" s="13">
        <f>IF($H93="","",SUMIFS('3_Ventas_Diarias'!$G$11:$G$610,'3_Ventas_Diarias'!$C$11:$C$610,$H93,'3_Ventas_Diarias'!$A$11:$A$610,"&gt;="&amp;'4_Dashboard_DAMABIS'!$P$5,'3_Ventas_Diarias'!$A$11:$A$610,"&lt;="&amp;'4_Dashboard_DAMABIS'!$P$6))</f>
        <v/>
      </c>
      <c r="L93" s="13">
        <f>IF($H93="","",SUMIFS('3_Ventas_Diarias'!$J$11:$J$610,'3_Ventas_Diarias'!$C$11:$C$610,$H93,'3_Ventas_Diarias'!$A$11:$A$610,"&gt;="&amp;'4_Dashboard_DAMABIS'!$P$5,'3_Ventas_Diarias'!$A$11:$A$610,"&lt;="&amp;'4_Dashboard_DAMABIS'!$P$6))</f>
        <v/>
      </c>
      <c r="M93" s="14">
        <f>IF($H93="","",N($K93)+ROW()/1000000)</f>
        <v/>
      </c>
    </row>
    <row r="94">
      <c r="H94" s="6">
        <f>IF('2_Control_de_Stock'!$A$101="","",'2_Control_de_Stock'!$A$101)</f>
        <v/>
      </c>
      <c r="I94" s="6">
        <f>IF('2_Control_de_Stock'!$A$101="","",'2_Control_de_Stock'!$B$101)</f>
        <v/>
      </c>
      <c r="J94" s="7">
        <f>IF($H94="","",SUMIFS('3_Ventas_Diarias'!$E$11:$E$610,'3_Ventas_Diarias'!$C$11:$C$610,$H94,'3_Ventas_Diarias'!$A$11:$A$610,"&gt;="&amp;'4_Dashboard_DAMABIS'!$P$5,'3_Ventas_Diarias'!$A$11:$A$610,"&lt;="&amp;'4_Dashboard_DAMABIS'!$P$6))</f>
        <v/>
      </c>
      <c r="K94" s="8">
        <f>IF($H94="","",SUMIFS('3_Ventas_Diarias'!$G$11:$G$610,'3_Ventas_Diarias'!$C$11:$C$610,$H94,'3_Ventas_Diarias'!$A$11:$A$610,"&gt;="&amp;'4_Dashboard_DAMABIS'!$P$5,'3_Ventas_Diarias'!$A$11:$A$610,"&lt;="&amp;'4_Dashboard_DAMABIS'!$P$6))</f>
        <v/>
      </c>
      <c r="L94" s="8">
        <f>IF($H94="","",SUMIFS('3_Ventas_Diarias'!$J$11:$J$610,'3_Ventas_Diarias'!$C$11:$C$610,$H94,'3_Ventas_Diarias'!$A$11:$A$610,"&gt;="&amp;'4_Dashboard_DAMABIS'!$P$5,'3_Ventas_Diarias'!$A$11:$A$610,"&lt;="&amp;'4_Dashboard_DAMABIS'!$P$6))</f>
        <v/>
      </c>
      <c r="M94" s="9">
        <f>IF($H94="","",N($K94)+ROW()/1000000)</f>
        <v/>
      </c>
    </row>
    <row r="95">
      <c r="H95" s="11">
        <f>IF('2_Control_de_Stock'!$A$102="","",'2_Control_de_Stock'!$A$102)</f>
        <v/>
      </c>
      <c r="I95" s="11">
        <f>IF('2_Control_de_Stock'!$A$102="","",'2_Control_de_Stock'!$B$102)</f>
        <v/>
      </c>
      <c r="J95" s="12">
        <f>IF($H95="","",SUMIFS('3_Ventas_Diarias'!$E$11:$E$610,'3_Ventas_Diarias'!$C$11:$C$610,$H95,'3_Ventas_Diarias'!$A$11:$A$610,"&gt;="&amp;'4_Dashboard_DAMABIS'!$P$5,'3_Ventas_Diarias'!$A$11:$A$610,"&lt;="&amp;'4_Dashboard_DAMABIS'!$P$6))</f>
        <v/>
      </c>
      <c r="K95" s="13">
        <f>IF($H95="","",SUMIFS('3_Ventas_Diarias'!$G$11:$G$610,'3_Ventas_Diarias'!$C$11:$C$610,$H95,'3_Ventas_Diarias'!$A$11:$A$610,"&gt;="&amp;'4_Dashboard_DAMABIS'!$P$5,'3_Ventas_Diarias'!$A$11:$A$610,"&lt;="&amp;'4_Dashboard_DAMABIS'!$P$6))</f>
        <v/>
      </c>
      <c r="L95" s="13">
        <f>IF($H95="","",SUMIFS('3_Ventas_Diarias'!$J$11:$J$610,'3_Ventas_Diarias'!$C$11:$C$610,$H95,'3_Ventas_Diarias'!$A$11:$A$610,"&gt;="&amp;'4_Dashboard_DAMABIS'!$P$5,'3_Ventas_Diarias'!$A$11:$A$610,"&lt;="&amp;'4_Dashboard_DAMABIS'!$P$6))</f>
        <v/>
      </c>
      <c r="M95" s="14">
        <f>IF($H95="","",N($K95)+ROW()/1000000)</f>
        <v/>
      </c>
    </row>
    <row r="96">
      <c r="H96" s="6">
        <f>IF('2_Control_de_Stock'!$A$103="","",'2_Control_de_Stock'!$A$103)</f>
        <v/>
      </c>
      <c r="I96" s="6">
        <f>IF('2_Control_de_Stock'!$A$103="","",'2_Control_de_Stock'!$B$103)</f>
        <v/>
      </c>
      <c r="J96" s="7">
        <f>IF($H96="","",SUMIFS('3_Ventas_Diarias'!$E$11:$E$610,'3_Ventas_Diarias'!$C$11:$C$610,$H96,'3_Ventas_Diarias'!$A$11:$A$610,"&gt;="&amp;'4_Dashboard_DAMABIS'!$P$5,'3_Ventas_Diarias'!$A$11:$A$610,"&lt;="&amp;'4_Dashboard_DAMABIS'!$P$6))</f>
        <v/>
      </c>
      <c r="K96" s="8">
        <f>IF($H96="","",SUMIFS('3_Ventas_Diarias'!$G$11:$G$610,'3_Ventas_Diarias'!$C$11:$C$610,$H96,'3_Ventas_Diarias'!$A$11:$A$610,"&gt;="&amp;'4_Dashboard_DAMABIS'!$P$5,'3_Ventas_Diarias'!$A$11:$A$610,"&lt;="&amp;'4_Dashboard_DAMABIS'!$P$6))</f>
        <v/>
      </c>
      <c r="L96" s="8">
        <f>IF($H96="","",SUMIFS('3_Ventas_Diarias'!$J$11:$J$610,'3_Ventas_Diarias'!$C$11:$C$610,$H96,'3_Ventas_Diarias'!$A$11:$A$610,"&gt;="&amp;'4_Dashboard_DAMABIS'!$P$5,'3_Ventas_Diarias'!$A$11:$A$610,"&lt;="&amp;'4_Dashboard_DAMABIS'!$P$6))</f>
        <v/>
      </c>
      <c r="M96" s="9">
        <f>IF($H96="","",N($K96)+ROW()/1000000)</f>
        <v/>
      </c>
    </row>
    <row r="97">
      <c r="H97" s="11">
        <f>IF('2_Control_de_Stock'!$A$104="","",'2_Control_de_Stock'!$A$104)</f>
        <v/>
      </c>
      <c r="I97" s="11">
        <f>IF('2_Control_de_Stock'!$A$104="","",'2_Control_de_Stock'!$B$104)</f>
        <v/>
      </c>
      <c r="J97" s="12">
        <f>IF($H97="","",SUMIFS('3_Ventas_Diarias'!$E$11:$E$610,'3_Ventas_Diarias'!$C$11:$C$610,$H97,'3_Ventas_Diarias'!$A$11:$A$610,"&gt;="&amp;'4_Dashboard_DAMABIS'!$P$5,'3_Ventas_Diarias'!$A$11:$A$610,"&lt;="&amp;'4_Dashboard_DAMABIS'!$P$6))</f>
        <v/>
      </c>
      <c r="K97" s="13">
        <f>IF($H97="","",SUMIFS('3_Ventas_Diarias'!$G$11:$G$610,'3_Ventas_Diarias'!$C$11:$C$610,$H97,'3_Ventas_Diarias'!$A$11:$A$610,"&gt;="&amp;'4_Dashboard_DAMABIS'!$P$5,'3_Ventas_Diarias'!$A$11:$A$610,"&lt;="&amp;'4_Dashboard_DAMABIS'!$P$6))</f>
        <v/>
      </c>
      <c r="L97" s="13">
        <f>IF($H97="","",SUMIFS('3_Ventas_Diarias'!$J$11:$J$610,'3_Ventas_Diarias'!$C$11:$C$610,$H97,'3_Ventas_Diarias'!$A$11:$A$610,"&gt;="&amp;'4_Dashboard_DAMABIS'!$P$5,'3_Ventas_Diarias'!$A$11:$A$610,"&lt;="&amp;'4_Dashboard_DAMABIS'!$P$6))</f>
        <v/>
      </c>
      <c r="M97" s="14">
        <f>IF($H97="","",N($K97)+ROW()/1000000)</f>
        <v/>
      </c>
    </row>
    <row r="98">
      <c r="H98" s="6">
        <f>IF('2_Control_de_Stock'!$A$105="","",'2_Control_de_Stock'!$A$105)</f>
        <v/>
      </c>
      <c r="I98" s="6">
        <f>IF('2_Control_de_Stock'!$A$105="","",'2_Control_de_Stock'!$B$105)</f>
        <v/>
      </c>
      <c r="J98" s="7">
        <f>IF($H98="","",SUMIFS('3_Ventas_Diarias'!$E$11:$E$610,'3_Ventas_Diarias'!$C$11:$C$610,$H98,'3_Ventas_Diarias'!$A$11:$A$610,"&gt;="&amp;'4_Dashboard_DAMABIS'!$P$5,'3_Ventas_Diarias'!$A$11:$A$610,"&lt;="&amp;'4_Dashboard_DAMABIS'!$P$6))</f>
        <v/>
      </c>
      <c r="K98" s="8">
        <f>IF($H98="","",SUMIFS('3_Ventas_Diarias'!$G$11:$G$610,'3_Ventas_Diarias'!$C$11:$C$610,$H98,'3_Ventas_Diarias'!$A$11:$A$610,"&gt;="&amp;'4_Dashboard_DAMABIS'!$P$5,'3_Ventas_Diarias'!$A$11:$A$610,"&lt;="&amp;'4_Dashboard_DAMABIS'!$P$6))</f>
        <v/>
      </c>
      <c r="L98" s="8">
        <f>IF($H98="","",SUMIFS('3_Ventas_Diarias'!$J$11:$J$610,'3_Ventas_Diarias'!$C$11:$C$610,$H98,'3_Ventas_Diarias'!$A$11:$A$610,"&gt;="&amp;'4_Dashboard_DAMABIS'!$P$5,'3_Ventas_Diarias'!$A$11:$A$610,"&lt;="&amp;'4_Dashboard_DAMABIS'!$P$6))</f>
        <v/>
      </c>
      <c r="M98" s="9">
        <f>IF($H98="","",N($K98)+ROW()/1000000)</f>
        <v/>
      </c>
    </row>
    <row r="99">
      <c r="H99" s="11">
        <f>IF('2_Control_de_Stock'!$A$106="","",'2_Control_de_Stock'!$A$106)</f>
        <v/>
      </c>
      <c r="I99" s="11">
        <f>IF('2_Control_de_Stock'!$A$106="","",'2_Control_de_Stock'!$B$106)</f>
        <v/>
      </c>
      <c r="J99" s="12">
        <f>IF($H99="","",SUMIFS('3_Ventas_Diarias'!$E$11:$E$610,'3_Ventas_Diarias'!$C$11:$C$610,$H99,'3_Ventas_Diarias'!$A$11:$A$610,"&gt;="&amp;'4_Dashboard_DAMABIS'!$P$5,'3_Ventas_Diarias'!$A$11:$A$610,"&lt;="&amp;'4_Dashboard_DAMABIS'!$P$6))</f>
        <v/>
      </c>
      <c r="K99" s="13">
        <f>IF($H99="","",SUMIFS('3_Ventas_Diarias'!$G$11:$G$610,'3_Ventas_Diarias'!$C$11:$C$610,$H99,'3_Ventas_Diarias'!$A$11:$A$610,"&gt;="&amp;'4_Dashboard_DAMABIS'!$P$5,'3_Ventas_Diarias'!$A$11:$A$610,"&lt;="&amp;'4_Dashboard_DAMABIS'!$P$6))</f>
        <v/>
      </c>
      <c r="L99" s="13">
        <f>IF($H99="","",SUMIFS('3_Ventas_Diarias'!$J$11:$J$610,'3_Ventas_Diarias'!$C$11:$C$610,$H99,'3_Ventas_Diarias'!$A$11:$A$610,"&gt;="&amp;'4_Dashboard_DAMABIS'!$P$5,'3_Ventas_Diarias'!$A$11:$A$610,"&lt;="&amp;'4_Dashboard_DAMABIS'!$P$6))</f>
        <v/>
      </c>
      <c r="M99" s="14">
        <f>IF($H99="","",N($K99)+ROW()/1000000)</f>
        <v/>
      </c>
    </row>
    <row r="100">
      <c r="H100" s="6">
        <f>IF('2_Control_de_Stock'!$A$107="","",'2_Control_de_Stock'!$A$107)</f>
        <v/>
      </c>
      <c r="I100" s="6">
        <f>IF('2_Control_de_Stock'!$A$107="","",'2_Control_de_Stock'!$B$107)</f>
        <v/>
      </c>
      <c r="J100" s="7">
        <f>IF($H100="","",SUMIFS('3_Ventas_Diarias'!$E$11:$E$610,'3_Ventas_Diarias'!$C$11:$C$610,$H100,'3_Ventas_Diarias'!$A$11:$A$610,"&gt;="&amp;'4_Dashboard_DAMABIS'!$P$5,'3_Ventas_Diarias'!$A$11:$A$610,"&lt;="&amp;'4_Dashboard_DAMABIS'!$P$6))</f>
        <v/>
      </c>
      <c r="K100" s="8">
        <f>IF($H100="","",SUMIFS('3_Ventas_Diarias'!$G$11:$G$610,'3_Ventas_Diarias'!$C$11:$C$610,$H100,'3_Ventas_Diarias'!$A$11:$A$610,"&gt;="&amp;'4_Dashboard_DAMABIS'!$P$5,'3_Ventas_Diarias'!$A$11:$A$610,"&lt;="&amp;'4_Dashboard_DAMABIS'!$P$6))</f>
        <v/>
      </c>
      <c r="L100" s="8">
        <f>IF($H100="","",SUMIFS('3_Ventas_Diarias'!$J$11:$J$610,'3_Ventas_Diarias'!$C$11:$C$610,$H100,'3_Ventas_Diarias'!$A$11:$A$610,"&gt;="&amp;'4_Dashboard_DAMABIS'!$P$5,'3_Ventas_Diarias'!$A$11:$A$610,"&lt;="&amp;'4_Dashboard_DAMABIS'!$P$6))</f>
        <v/>
      </c>
      <c r="M100" s="9">
        <f>IF($H100="","",N($K100)+ROW()/1000000)</f>
        <v/>
      </c>
    </row>
    <row r="101">
      <c r="H101" s="11">
        <f>IF('2_Control_de_Stock'!$A$108="","",'2_Control_de_Stock'!$A$108)</f>
        <v/>
      </c>
      <c r="I101" s="11">
        <f>IF('2_Control_de_Stock'!$A$108="","",'2_Control_de_Stock'!$B$108)</f>
        <v/>
      </c>
      <c r="J101" s="12">
        <f>IF($H101="","",SUMIFS('3_Ventas_Diarias'!$E$11:$E$610,'3_Ventas_Diarias'!$C$11:$C$610,$H101,'3_Ventas_Diarias'!$A$11:$A$610,"&gt;="&amp;'4_Dashboard_DAMABIS'!$P$5,'3_Ventas_Diarias'!$A$11:$A$610,"&lt;="&amp;'4_Dashboard_DAMABIS'!$P$6))</f>
        <v/>
      </c>
      <c r="K101" s="13">
        <f>IF($H101="","",SUMIFS('3_Ventas_Diarias'!$G$11:$G$610,'3_Ventas_Diarias'!$C$11:$C$610,$H101,'3_Ventas_Diarias'!$A$11:$A$610,"&gt;="&amp;'4_Dashboard_DAMABIS'!$P$5,'3_Ventas_Diarias'!$A$11:$A$610,"&lt;="&amp;'4_Dashboard_DAMABIS'!$P$6))</f>
        <v/>
      </c>
      <c r="L101" s="13">
        <f>IF($H101="","",SUMIFS('3_Ventas_Diarias'!$J$11:$J$610,'3_Ventas_Diarias'!$C$11:$C$610,$H101,'3_Ventas_Diarias'!$A$11:$A$610,"&gt;="&amp;'4_Dashboard_DAMABIS'!$P$5,'3_Ventas_Diarias'!$A$11:$A$610,"&lt;="&amp;'4_Dashboard_DAMABIS'!$P$6))</f>
        <v/>
      </c>
      <c r="M101" s="14">
        <f>IF($H101="","",N($K101)+ROW()/1000000)</f>
        <v/>
      </c>
    </row>
    <row r="102">
      <c r="H102" s="6">
        <f>IF('2_Control_de_Stock'!$A$109="","",'2_Control_de_Stock'!$A$109)</f>
        <v/>
      </c>
      <c r="I102" s="6">
        <f>IF('2_Control_de_Stock'!$A$109="","",'2_Control_de_Stock'!$B$109)</f>
        <v/>
      </c>
      <c r="J102" s="7">
        <f>IF($H102="","",SUMIFS('3_Ventas_Diarias'!$E$11:$E$610,'3_Ventas_Diarias'!$C$11:$C$610,$H102,'3_Ventas_Diarias'!$A$11:$A$610,"&gt;="&amp;'4_Dashboard_DAMABIS'!$P$5,'3_Ventas_Diarias'!$A$11:$A$610,"&lt;="&amp;'4_Dashboard_DAMABIS'!$P$6))</f>
        <v/>
      </c>
      <c r="K102" s="8">
        <f>IF($H102="","",SUMIFS('3_Ventas_Diarias'!$G$11:$G$610,'3_Ventas_Diarias'!$C$11:$C$610,$H102,'3_Ventas_Diarias'!$A$11:$A$610,"&gt;="&amp;'4_Dashboard_DAMABIS'!$P$5,'3_Ventas_Diarias'!$A$11:$A$610,"&lt;="&amp;'4_Dashboard_DAMABIS'!$P$6))</f>
        <v/>
      </c>
      <c r="L102" s="8">
        <f>IF($H102="","",SUMIFS('3_Ventas_Diarias'!$J$11:$J$610,'3_Ventas_Diarias'!$C$11:$C$610,$H102,'3_Ventas_Diarias'!$A$11:$A$610,"&gt;="&amp;'4_Dashboard_DAMABIS'!$P$5,'3_Ventas_Diarias'!$A$11:$A$610,"&lt;="&amp;'4_Dashboard_DAMABIS'!$P$6))</f>
        <v/>
      </c>
      <c r="M102" s="9">
        <f>IF($H102="","",N($K102)+ROW()/1000000)</f>
        <v/>
      </c>
    </row>
    <row r="103">
      <c r="H103" s="11">
        <f>IF('2_Control_de_Stock'!$A$110="","",'2_Control_de_Stock'!$A$110)</f>
        <v/>
      </c>
      <c r="I103" s="11">
        <f>IF('2_Control_de_Stock'!$A$110="","",'2_Control_de_Stock'!$B$110)</f>
        <v/>
      </c>
      <c r="J103" s="12">
        <f>IF($H103="","",SUMIFS('3_Ventas_Diarias'!$E$11:$E$610,'3_Ventas_Diarias'!$C$11:$C$610,$H103,'3_Ventas_Diarias'!$A$11:$A$610,"&gt;="&amp;'4_Dashboard_DAMABIS'!$P$5,'3_Ventas_Diarias'!$A$11:$A$610,"&lt;="&amp;'4_Dashboard_DAMABIS'!$P$6))</f>
        <v/>
      </c>
      <c r="K103" s="13">
        <f>IF($H103="","",SUMIFS('3_Ventas_Diarias'!$G$11:$G$610,'3_Ventas_Diarias'!$C$11:$C$610,$H103,'3_Ventas_Diarias'!$A$11:$A$610,"&gt;="&amp;'4_Dashboard_DAMABIS'!$P$5,'3_Ventas_Diarias'!$A$11:$A$610,"&lt;="&amp;'4_Dashboard_DAMABIS'!$P$6))</f>
        <v/>
      </c>
      <c r="L103" s="13">
        <f>IF($H103="","",SUMIFS('3_Ventas_Diarias'!$J$11:$J$610,'3_Ventas_Diarias'!$C$11:$C$610,$H103,'3_Ventas_Diarias'!$A$11:$A$610,"&gt;="&amp;'4_Dashboard_DAMABIS'!$P$5,'3_Ventas_Diarias'!$A$11:$A$610,"&lt;="&amp;'4_Dashboard_DAMABIS'!$P$6))</f>
        <v/>
      </c>
      <c r="M103" s="14">
        <f>IF($H103="","",N($K103)+ROW()/1000000)</f>
        <v/>
      </c>
    </row>
    <row r="104">
      <c r="H104" s="6">
        <f>IF('2_Control_de_Stock'!$A$111="","",'2_Control_de_Stock'!$A$111)</f>
        <v/>
      </c>
      <c r="I104" s="6">
        <f>IF('2_Control_de_Stock'!$A$111="","",'2_Control_de_Stock'!$B$111)</f>
        <v/>
      </c>
      <c r="J104" s="7">
        <f>IF($H104="","",SUMIFS('3_Ventas_Diarias'!$E$11:$E$610,'3_Ventas_Diarias'!$C$11:$C$610,$H104,'3_Ventas_Diarias'!$A$11:$A$610,"&gt;="&amp;'4_Dashboard_DAMABIS'!$P$5,'3_Ventas_Diarias'!$A$11:$A$610,"&lt;="&amp;'4_Dashboard_DAMABIS'!$P$6))</f>
        <v/>
      </c>
      <c r="K104" s="8">
        <f>IF($H104="","",SUMIFS('3_Ventas_Diarias'!$G$11:$G$610,'3_Ventas_Diarias'!$C$11:$C$610,$H104,'3_Ventas_Diarias'!$A$11:$A$610,"&gt;="&amp;'4_Dashboard_DAMABIS'!$P$5,'3_Ventas_Diarias'!$A$11:$A$610,"&lt;="&amp;'4_Dashboard_DAMABIS'!$P$6))</f>
        <v/>
      </c>
      <c r="L104" s="8">
        <f>IF($H104="","",SUMIFS('3_Ventas_Diarias'!$J$11:$J$610,'3_Ventas_Diarias'!$C$11:$C$610,$H104,'3_Ventas_Diarias'!$A$11:$A$610,"&gt;="&amp;'4_Dashboard_DAMABIS'!$P$5,'3_Ventas_Diarias'!$A$11:$A$610,"&lt;="&amp;'4_Dashboard_DAMABIS'!$P$6))</f>
        <v/>
      </c>
      <c r="M104" s="9">
        <f>IF($H104="","",N($K104)+ROW()/1000000)</f>
        <v/>
      </c>
    </row>
    <row r="105">
      <c r="H105" s="11">
        <f>IF('2_Control_de_Stock'!$A$112="","",'2_Control_de_Stock'!$A$112)</f>
        <v/>
      </c>
      <c r="I105" s="11">
        <f>IF('2_Control_de_Stock'!$A$112="","",'2_Control_de_Stock'!$B$112)</f>
        <v/>
      </c>
      <c r="J105" s="12">
        <f>IF($H105="","",SUMIFS('3_Ventas_Diarias'!$E$11:$E$610,'3_Ventas_Diarias'!$C$11:$C$610,$H105,'3_Ventas_Diarias'!$A$11:$A$610,"&gt;="&amp;'4_Dashboard_DAMABIS'!$P$5,'3_Ventas_Diarias'!$A$11:$A$610,"&lt;="&amp;'4_Dashboard_DAMABIS'!$P$6))</f>
        <v/>
      </c>
      <c r="K105" s="13">
        <f>IF($H105="","",SUMIFS('3_Ventas_Diarias'!$G$11:$G$610,'3_Ventas_Diarias'!$C$11:$C$610,$H105,'3_Ventas_Diarias'!$A$11:$A$610,"&gt;="&amp;'4_Dashboard_DAMABIS'!$P$5,'3_Ventas_Diarias'!$A$11:$A$610,"&lt;="&amp;'4_Dashboard_DAMABIS'!$P$6))</f>
        <v/>
      </c>
      <c r="L105" s="13">
        <f>IF($H105="","",SUMIFS('3_Ventas_Diarias'!$J$11:$J$610,'3_Ventas_Diarias'!$C$11:$C$610,$H105,'3_Ventas_Diarias'!$A$11:$A$610,"&gt;="&amp;'4_Dashboard_DAMABIS'!$P$5,'3_Ventas_Diarias'!$A$11:$A$610,"&lt;="&amp;'4_Dashboard_DAMABIS'!$P$6))</f>
        <v/>
      </c>
      <c r="M105" s="14">
        <f>IF($H105="","",N($K105)+ROW()/1000000)</f>
        <v/>
      </c>
    </row>
    <row r="106">
      <c r="H106" s="6">
        <f>IF('2_Control_de_Stock'!$A$113="","",'2_Control_de_Stock'!$A$113)</f>
        <v/>
      </c>
      <c r="I106" s="6">
        <f>IF('2_Control_de_Stock'!$A$113="","",'2_Control_de_Stock'!$B$113)</f>
        <v/>
      </c>
      <c r="J106" s="7">
        <f>IF($H106="","",SUMIFS('3_Ventas_Diarias'!$E$11:$E$610,'3_Ventas_Diarias'!$C$11:$C$610,$H106,'3_Ventas_Diarias'!$A$11:$A$610,"&gt;="&amp;'4_Dashboard_DAMABIS'!$P$5,'3_Ventas_Diarias'!$A$11:$A$610,"&lt;="&amp;'4_Dashboard_DAMABIS'!$P$6))</f>
        <v/>
      </c>
      <c r="K106" s="8">
        <f>IF($H106="","",SUMIFS('3_Ventas_Diarias'!$G$11:$G$610,'3_Ventas_Diarias'!$C$11:$C$610,$H106,'3_Ventas_Diarias'!$A$11:$A$610,"&gt;="&amp;'4_Dashboard_DAMABIS'!$P$5,'3_Ventas_Diarias'!$A$11:$A$610,"&lt;="&amp;'4_Dashboard_DAMABIS'!$P$6))</f>
        <v/>
      </c>
      <c r="L106" s="8">
        <f>IF($H106="","",SUMIFS('3_Ventas_Diarias'!$J$11:$J$610,'3_Ventas_Diarias'!$C$11:$C$610,$H106,'3_Ventas_Diarias'!$A$11:$A$610,"&gt;="&amp;'4_Dashboard_DAMABIS'!$P$5,'3_Ventas_Diarias'!$A$11:$A$610,"&lt;="&amp;'4_Dashboard_DAMABIS'!$P$6))</f>
        <v/>
      </c>
      <c r="M106" s="9">
        <f>IF($H106="","",N($K106)+ROW()/1000000)</f>
        <v/>
      </c>
    </row>
    <row r="107">
      <c r="H107" s="11">
        <f>IF('2_Control_de_Stock'!$A$114="","",'2_Control_de_Stock'!$A$114)</f>
        <v/>
      </c>
      <c r="I107" s="11">
        <f>IF('2_Control_de_Stock'!$A$114="","",'2_Control_de_Stock'!$B$114)</f>
        <v/>
      </c>
      <c r="J107" s="12">
        <f>IF($H107="","",SUMIFS('3_Ventas_Diarias'!$E$11:$E$610,'3_Ventas_Diarias'!$C$11:$C$610,$H107,'3_Ventas_Diarias'!$A$11:$A$610,"&gt;="&amp;'4_Dashboard_DAMABIS'!$P$5,'3_Ventas_Diarias'!$A$11:$A$610,"&lt;="&amp;'4_Dashboard_DAMABIS'!$P$6))</f>
        <v/>
      </c>
      <c r="K107" s="13">
        <f>IF($H107="","",SUMIFS('3_Ventas_Diarias'!$G$11:$G$610,'3_Ventas_Diarias'!$C$11:$C$610,$H107,'3_Ventas_Diarias'!$A$11:$A$610,"&gt;="&amp;'4_Dashboard_DAMABIS'!$P$5,'3_Ventas_Diarias'!$A$11:$A$610,"&lt;="&amp;'4_Dashboard_DAMABIS'!$P$6))</f>
        <v/>
      </c>
      <c r="L107" s="13">
        <f>IF($H107="","",SUMIFS('3_Ventas_Diarias'!$J$11:$J$610,'3_Ventas_Diarias'!$C$11:$C$610,$H107,'3_Ventas_Diarias'!$A$11:$A$610,"&gt;="&amp;'4_Dashboard_DAMABIS'!$P$5,'3_Ventas_Diarias'!$A$11:$A$610,"&lt;="&amp;'4_Dashboard_DAMABIS'!$P$6))</f>
        <v/>
      </c>
      <c r="M107" s="14">
        <f>IF($H107="","",N($K107)+ROW()/1000000)</f>
        <v/>
      </c>
    </row>
    <row r="108">
      <c r="H108" s="6">
        <f>IF('2_Control_de_Stock'!$A$115="","",'2_Control_de_Stock'!$A$115)</f>
        <v/>
      </c>
      <c r="I108" s="6">
        <f>IF('2_Control_de_Stock'!$A$115="","",'2_Control_de_Stock'!$B$115)</f>
        <v/>
      </c>
      <c r="J108" s="7">
        <f>IF($H108="","",SUMIFS('3_Ventas_Diarias'!$E$11:$E$610,'3_Ventas_Diarias'!$C$11:$C$610,$H108,'3_Ventas_Diarias'!$A$11:$A$610,"&gt;="&amp;'4_Dashboard_DAMABIS'!$P$5,'3_Ventas_Diarias'!$A$11:$A$610,"&lt;="&amp;'4_Dashboard_DAMABIS'!$P$6))</f>
        <v/>
      </c>
      <c r="K108" s="8">
        <f>IF($H108="","",SUMIFS('3_Ventas_Diarias'!$G$11:$G$610,'3_Ventas_Diarias'!$C$11:$C$610,$H108,'3_Ventas_Diarias'!$A$11:$A$610,"&gt;="&amp;'4_Dashboard_DAMABIS'!$P$5,'3_Ventas_Diarias'!$A$11:$A$610,"&lt;="&amp;'4_Dashboard_DAMABIS'!$P$6))</f>
        <v/>
      </c>
      <c r="L108" s="8">
        <f>IF($H108="","",SUMIFS('3_Ventas_Diarias'!$J$11:$J$610,'3_Ventas_Diarias'!$C$11:$C$610,$H108,'3_Ventas_Diarias'!$A$11:$A$610,"&gt;="&amp;'4_Dashboard_DAMABIS'!$P$5,'3_Ventas_Diarias'!$A$11:$A$610,"&lt;="&amp;'4_Dashboard_DAMABIS'!$P$6))</f>
        <v/>
      </c>
      <c r="M108" s="9">
        <f>IF($H108="","",N($K108)+ROW()/1000000)</f>
        <v/>
      </c>
    </row>
    <row r="109">
      <c r="H109" s="11">
        <f>IF('2_Control_de_Stock'!$A$116="","",'2_Control_de_Stock'!$A$116)</f>
        <v/>
      </c>
      <c r="I109" s="11">
        <f>IF('2_Control_de_Stock'!$A$116="","",'2_Control_de_Stock'!$B$116)</f>
        <v/>
      </c>
      <c r="J109" s="12">
        <f>IF($H109="","",SUMIFS('3_Ventas_Diarias'!$E$11:$E$610,'3_Ventas_Diarias'!$C$11:$C$610,$H109,'3_Ventas_Diarias'!$A$11:$A$610,"&gt;="&amp;'4_Dashboard_DAMABIS'!$P$5,'3_Ventas_Diarias'!$A$11:$A$610,"&lt;="&amp;'4_Dashboard_DAMABIS'!$P$6))</f>
        <v/>
      </c>
      <c r="K109" s="13">
        <f>IF($H109="","",SUMIFS('3_Ventas_Diarias'!$G$11:$G$610,'3_Ventas_Diarias'!$C$11:$C$610,$H109,'3_Ventas_Diarias'!$A$11:$A$610,"&gt;="&amp;'4_Dashboard_DAMABIS'!$P$5,'3_Ventas_Diarias'!$A$11:$A$610,"&lt;="&amp;'4_Dashboard_DAMABIS'!$P$6))</f>
        <v/>
      </c>
      <c r="L109" s="13">
        <f>IF($H109="","",SUMIFS('3_Ventas_Diarias'!$J$11:$J$610,'3_Ventas_Diarias'!$C$11:$C$610,$H109,'3_Ventas_Diarias'!$A$11:$A$610,"&gt;="&amp;'4_Dashboard_DAMABIS'!$P$5,'3_Ventas_Diarias'!$A$11:$A$610,"&lt;="&amp;'4_Dashboard_DAMABIS'!$P$6))</f>
        <v/>
      </c>
      <c r="M109" s="14">
        <f>IF($H109="","",N($K109)+ROW()/1000000)</f>
        <v/>
      </c>
    </row>
    <row r="110">
      <c r="H110" s="6">
        <f>IF('2_Control_de_Stock'!$A$117="","",'2_Control_de_Stock'!$A$117)</f>
        <v/>
      </c>
      <c r="I110" s="6">
        <f>IF('2_Control_de_Stock'!$A$117="","",'2_Control_de_Stock'!$B$117)</f>
        <v/>
      </c>
      <c r="J110" s="7">
        <f>IF($H110="","",SUMIFS('3_Ventas_Diarias'!$E$11:$E$610,'3_Ventas_Diarias'!$C$11:$C$610,$H110,'3_Ventas_Diarias'!$A$11:$A$610,"&gt;="&amp;'4_Dashboard_DAMABIS'!$P$5,'3_Ventas_Diarias'!$A$11:$A$610,"&lt;="&amp;'4_Dashboard_DAMABIS'!$P$6))</f>
        <v/>
      </c>
      <c r="K110" s="8">
        <f>IF($H110="","",SUMIFS('3_Ventas_Diarias'!$G$11:$G$610,'3_Ventas_Diarias'!$C$11:$C$610,$H110,'3_Ventas_Diarias'!$A$11:$A$610,"&gt;="&amp;'4_Dashboard_DAMABIS'!$P$5,'3_Ventas_Diarias'!$A$11:$A$610,"&lt;="&amp;'4_Dashboard_DAMABIS'!$P$6))</f>
        <v/>
      </c>
      <c r="L110" s="8">
        <f>IF($H110="","",SUMIFS('3_Ventas_Diarias'!$J$11:$J$610,'3_Ventas_Diarias'!$C$11:$C$610,$H110,'3_Ventas_Diarias'!$A$11:$A$610,"&gt;="&amp;'4_Dashboard_DAMABIS'!$P$5,'3_Ventas_Diarias'!$A$11:$A$610,"&lt;="&amp;'4_Dashboard_DAMABIS'!$P$6))</f>
        <v/>
      </c>
      <c r="M110" s="9">
        <f>IF($H110="","",N($K110)+ROW()/1000000)</f>
        <v/>
      </c>
    </row>
    <row r="111">
      <c r="H111" s="11">
        <f>IF('2_Control_de_Stock'!$A$118="","",'2_Control_de_Stock'!$A$118)</f>
        <v/>
      </c>
      <c r="I111" s="11">
        <f>IF('2_Control_de_Stock'!$A$118="","",'2_Control_de_Stock'!$B$118)</f>
        <v/>
      </c>
      <c r="J111" s="12">
        <f>IF($H111="","",SUMIFS('3_Ventas_Diarias'!$E$11:$E$610,'3_Ventas_Diarias'!$C$11:$C$610,$H111,'3_Ventas_Diarias'!$A$11:$A$610,"&gt;="&amp;'4_Dashboard_DAMABIS'!$P$5,'3_Ventas_Diarias'!$A$11:$A$610,"&lt;="&amp;'4_Dashboard_DAMABIS'!$P$6))</f>
        <v/>
      </c>
      <c r="K111" s="13">
        <f>IF($H111="","",SUMIFS('3_Ventas_Diarias'!$G$11:$G$610,'3_Ventas_Diarias'!$C$11:$C$610,$H111,'3_Ventas_Diarias'!$A$11:$A$610,"&gt;="&amp;'4_Dashboard_DAMABIS'!$P$5,'3_Ventas_Diarias'!$A$11:$A$610,"&lt;="&amp;'4_Dashboard_DAMABIS'!$P$6))</f>
        <v/>
      </c>
      <c r="L111" s="13">
        <f>IF($H111="","",SUMIFS('3_Ventas_Diarias'!$J$11:$J$610,'3_Ventas_Diarias'!$C$11:$C$610,$H111,'3_Ventas_Diarias'!$A$11:$A$610,"&gt;="&amp;'4_Dashboard_DAMABIS'!$P$5,'3_Ventas_Diarias'!$A$11:$A$610,"&lt;="&amp;'4_Dashboard_DAMABIS'!$P$6))</f>
        <v/>
      </c>
      <c r="M111" s="14">
        <f>IF($H111="","",N($K111)+ROW()/1000000)</f>
        <v/>
      </c>
    </row>
    <row r="112">
      <c r="H112" s="6">
        <f>IF('2_Control_de_Stock'!$A$119="","",'2_Control_de_Stock'!$A$119)</f>
        <v/>
      </c>
      <c r="I112" s="6">
        <f>IF('2_Control_de_Stock'!$A$119="","",'2_Control_de_Stock'!$B$119)</f>
        <v/>
      </c>
      <c r="J112" s="7">
        <f>IF($H112="","",SUMIFS('3_Ventas_Diarias'!$E$11:$E$610,'3_Ventas_Diarias'!$C$11:$C$610,$H112,'3_Ventas_Diarias'!$A$11:$A$610,"&gt;="&amp;'4_Dashboard_DAMABIS'!$P$5,'3_Ventas_Diarias'!$A$11:$A$610,"&lt;="&amp;'4_Dashboard_DAMABIS'!$P$6))</f>
        <v/>
      </c>
      <c r="K112" s="8">
        <f>IF($H112="","",SUMIFS('3_Ventas_Diarias'!$G$11:$G$610,'3_Ventas_Diarias'!$C$11:$C$610,$H112,'3_Ventas_Diarias'!$A$11:$A$610,"&gt;="&amp;'4_Dashboard_DAMABIS'!$P$5,'3_Ventas_Diarias'!$A$11:$A$610,"&lt;="&amp;'4_Dashboard_DAMABIS'!$P$6))</f>
        <v/>
      </c>
      <c r="L112" s="8">
        <f>IF($H112="","",SUMIFS('3_Ventas_Diarias'!$J$11:$J$610,'3_Ventas_Diarias'!$C$11:$C$610,$H112,'3_Ventas_Diarias'!$A$11:$A$610,"&gt;="&amp;'4_Dashboard_DAMABIS'!$P$5,'3_Ventas_Diarias'!$A$11:$A$610,"&lt;="&amp;'4_Dashboard_DAMABIS'!$P$6))</f>
        <v/>
      </c>
      <c r="M112" s="9">
        <f>IF($H112="","",N($K112)+ROW()/1000000)</f>
        <v/>
      </c>
    </row>
    <row r="113">
      <c r="H113" s="11">
        <f>IF('2_Control_de_Stock'!$A$120="","",'2_Control_de_Stock'!$A$120)</f>
        <v/>
      </c>
      <c r="I113" s="11">
        <f>IF('2_Control_de_Stock'!$A$120="","",'2_Control_de_Stock'!$B$120)</f>
        <v/>
      </c>
      <c r="J113" s="12">
        <f>IF($H113="","",SUMIFS('3_Ventas_Diarias'!$E$11:$E$610,'3_Ventas_Diarias'!$C$11:$C$610,$H113,'3_Ventas_Diarias'!$A$11:$A$610,"&gt;="&amp;'4_Dashboard_DAMABIS'!$P$5,'3_Ventas_Diarias'!$A$11:$A$610,"&lt;="&amp;'4_Dashboard_DAMABIS'!$P$6))</f>
        <v/>
      </c>
      <c r="K113" s="13">
        <f>IF($H113="","",SUMIFS('3_Ventas_Diarias'!$G$11:$G$610,'3_Ventas_Diarias'!$C$11:$C$610,$H113,'3_Ventas_Diarias'!$A$11:$A$610,"&gt;="&amp;'4_Dashboard_DAMABIS'!$P$5,'3_Ventas_Diarias'!$A$11:$A$610,"&lt;="&amp;'4_Dashboard_DAMABIS'!$P$6))</f>
        <v/>
      </c>
      <c r="L113" s="13">
        <f>IF($H113="","",SUMIFS('3_Ventas_Diarias'!$J$11:$J$610,'3_Ventas_Diarias'!$C$11:$C$610,$H113,'3_Ventas_Diarias'!$A$11:$A$610,"&gt;="&amp;'4_Dashboard_DAMABIS'!$P$5,'3_Ventas_Diarias'!$A$11:$A$610,"&lt;="&amp;'4_Dashboard_DAMABIS'!$P$6))</f>
        <v/>
      </c>
      <c r="M113" s="14">
        <f>IF($H113="","",N($K113)+ROW()/1000000)</f>
        <v/>
      </c>
    </row>
    <row r="114">
      <c r="H114" s="6">
        <f>IF('2_Control_de_Stock'!$A$121="","",'2_Control_de_Stock'!$A$121)</f>
        <v/>
      </c>
      <c r="I114" s="6">
        <f>IF('2_Control_de_Stock'!$A$121="","",'2_Control_de_Stock'!$B$121)</f>
        <v/>
      </c>
      <c r="J114" s="7">
        <f>IF($H114="","",SUMIFS('3_Ventas_Diarias'!$E$11:$E$610,'3_Ventas_Diarias'!$C$11:$C$610,$H114,'3_Ventas_Diarias'!$A$11:$A$610,"&gt;="&amp;'4_Dashboard_DAMABIS'!$P$5,'3_Ventas_Diarias'!$A$11:$A$610,"&lt;="&amp;'4_Dashboard_DAMABIS'!$P$6))</f>
        <v/>
      </c>
      <c r="K114" s="8">
        <f>IF($H114="","",SUMIFS('3_Ventas_Diarias'!$G$11:$G$610,'3_Ventas_Diarias'!$C$11:$C$610,$H114,'3_Ventas_Diarias'!$A$11:$A$610,"&gt;="&amp;'4_Dashboard_DAMABIS'!$P$5,'3_Ventas_Diarias'!$A$11:$A$610,"&lt;="&amp;'4_Dashboard_DAMABIS'!$P$6))</f>
        <v/>
      </c>
      <c r="L114" s="8">
        <f>IF($H114="","",SUMIFS('3_Ventas_Diarias'!$J$11:$J$610,'3_Ventas_Diarias'!$C$11:$C$610,$H114,'3_Ventas_Diarias'!$A$11:$A$610,"&gt;="&amp;'4_Dashboard_DAMABIS'!$P$5,'3_Ventas_Diarias'!$A$11:$A$610,"&lt;="&amp;'4_Dashboard_DAMABIS'!$P$6))</f>
        <v/>
      </c>
      <c r="M114" s="9">
        <f>IF($H114="","",N($K114)+ROW()/1000000)</f>
        <v/>
      </c>
    </row>
    <row r="115">
      <c r="H115" s="11">
        <f>IF('2_Control_de_Stock'!$A$122="","",'2_Control_de_Stock'!$A$122)</f>
        <v/>
      </c>
      <c r="I115" s="11">
        <f>IF('2_Control_de_Stock'!$A$122="","",'2_Control_de_Stock'!$B$122)</f>
        <v/>
      </c>
      <c r="J115" s="12">
        <f>IF($H115="","",SUMIFS('3_Ventas_Diarias'!$E$11:$E$610,'3_Ventas_Diarias'!$C$11:$C$610,$H115,'3_Ventas_Diarias'!$A$11:$A$610,"&gt;="&amp;'4_Dashboard_DAMABIS'!$P$5,'3_Ventas_Diarias'!$A$11:$A$610,"&lt;="&amp;'4_Dashboard_DAMABIS'!$P$6))</f>
        <v/>
      </c>
      <c r="K115" s="13">
        <f>IF($H115="","",SUMIFS('3_Ventas_Diarias'!$G$11:$G$610,'3_Ventas_Diarias'!$C$11:$C$610,$H115,'3_Ventas_Diarias'!$A$11:$A$610,"&gt;="&amp;'4_Dashboard_DAMABIS'!$P$5,'3_Ventas_Diarias'!$A$11:$A$610,"&lt;="&amp;'4_Dashboard_DAMABIS'!$P$6))</f>
        <v/>
      </c>
      <c r="L115" s="13">
        <f>IF($H115="","",SUMIFS('3_Ventas_Diarias'!$J$11:$J$610,'3_Ventas_Diarias'!$C$11:$C$610,$H115,'3_Ventas_Diarias'!$A$11:$A$610,"&gt;="&amp;'4_Dashboard_DAMABIS'!$P$5,'3_Ventas_Diarias'!$A$11:$A$610,"&lt;="&amp;'4_Dashboard_DAMABIS'!$P$6))</f>
        <v/>
      </c>
      <c r="M115" s="14">
        <f>IF($H115="","",N($K115)+ROW()/1000000)</f>
        <v/>
      </c>
    </row>
    <row r="116">
      <c r="H116" s="6">
        <f>IF('2_Control_de_Stock'!$A$123="","",'2_Control_de_Stock'!$A$123)</f>
        <v/>
      </c>
      <c r="I116" s="6">
        <f>IF('2_Control_de_Stock'!$A$123="","",'2_Control_de_Stock'!$B$123)</f>
        <v/>
      </c>
      <c r="J116" s="7">
        <f>IF($H116="","",SUMIFS('3_Ventas_Diarias'!$E$11:$E$610,'3_Ventas_Diarias'!$C$11:$C$610,$H116,'3_Ventas_Diarias'!$A$11:$A$610,"&gt;="&amp;'4_Dashboard_DAMABIS'!$P$5,'3_Ventas_Diarias'!$A$11:$A$610,"&lt;="&amp;'4_Dashboard_DAMABIS'!$P$6))</f>
        <v/>
      </c>
      <c r="K116" s="8">
        <f>IF($H116="","",SUMIFS('3_Ventas_Diarias'!$G$11:$G$610,'3_Ventas_Diarias'!$C$11:$C$610,$H116,'3_Ventas_Diarias'!$A$11:$A$610,"&gt;="&amp;'4_Dashboard_DAMABIS'!$P$5,'3_Ventas_Diarias'!$A$11:$A$610,"&lt;="&amp;'4_Dashboard_DAMABIS'!$P$6))</f>
        <v/>
      </c>
      <c r="L116" s="8">
        <f>IF($H116="","",SUMIFS('3_Ventas_Diarias'!$J$11:$J$610,'3_Ventas_Diarias'!$C$11:$C$610,$H116,'3_Ventas_Diarias'!$A$11:$A$610,"&gt;="&amp;'4_Dashboard_DAMABIS'!$P$5,'3_Ventas_Diarias'!$A$11:$A$610,"&lt;="&amp;'4_Dashboard_DAMABIS'!$P$6))</f>
        <v/>
      </c>
      <c r="M116" s="9">
        <f>IF($H116="","",N($K116)+ROW()/1000000)</f>
        <v/>
      </c>
    </row>
    <row r="117">
      <c r="H117" s="11">
        <f>IF('2_Control_de_Stock'!$A$124="","",'2_Control_de_Stock'!$A$124)</f>
        <v/>
      </c>
      <c r="I117" s="11">
        <f>IF('2_Control_de_Stock'!$A$124="","",'2_Control_de_Stock'!$B$124)</f>
        <v/>
      </c>
      <c r="J117" s="12">
        <f>IF($H117="","",SUMIFS('3_Ventas_Diarias'!$E$11:$E$610,'3_Ventas_Diarias'!$C$11:$C$610,$H117,'3_Ventas_Diarias'!$A$11:$A$610,"&gt;="&amp;'4_Dashboard_DAMABIS'!$P$5,'3_Ventas_Diarias'!$A$11:$A$610,"&lt;="&amp;'4_Dashboard_DAMABIS'!$P$6))</f>
        <v/>
      </c>
      <c r="K117" s="13">
        <f>IF($H117="","",SUMIFS('3_Ventas_Diarias'!$G$11:$G$610,'3_Ventas_Diarias'!$C$11:$C$610,$H117,'3_Ventas_Diarias'!$A$11:$A$610,"&gt;="&amp;'4_Dashboard_DAMABIS'!$P$5,'3_Ventas_Diarias'!$A$11:$A$610,"&lt;="&amp;'4_Dashboard_DAMABIS'!$P$6))</f>
        <v/>
      </c>
      <c r="L117" s="13">
        <f>IF($H117="","",SUMIFS('3_Ventas_Diarias'!$J$11:$J$610,'3_Ventas_Diarias'!$C$11:$C$610,$H117,'3_Ventas_Diarias'!$A$11:$A$610,"&gt;="&amp;'4_Dashboard_DAMABIS'!$P$5,'3_Ventas_Diarias'!$A$11:$A$610,"&lt;="&amp;'4_Dashboard_DAMABIS'!$P$6))</f>
        <v/>
      </c>
      <c r="M117" s="14">
        <f>IF($H117="","",N($K117)+ROW()/1000000)</f>
        <v/>
      </c>
    </row>
    <row r="118">
      <c r="H118" s="6">
        <f>IF('2_Control_de_Stock'!$A$125="","",'2_Control_de_Stock'!$A$125)</f>
        <v/>
      </c>
      <c r="I118" s="6">
        <f>IF('2_Control_de_Stock'!$A$125="","",'2_Control_de_Stock'!$B$125)</f>
        <v/>
      </c>
      <c r="J118" s="7">
        <f>IF($H118="","",SUMIFS('3_Ventas_Diarias'!$E$11:$E$610,'3_Ventas_Diarias'!$C$11:$C$610,$H118,'3_Ventas_Diarias'!$A$11:$A$610,"&gt;="&amp;'4_Dashboard_DAMABIS'!$P$5,'3_Ventas_Diarias'!$A$11:$A$610,"&lt;="&amp;'4_Dashboard_DAMABIS'!$P$6))</f>
        <v/>
      </c>
      <c r="K118" s="8">
        <f>IF($H118="","",SUMIFS('3_Ventas_Diarias'!$G$11:$G$610,'3_Ventas_Diarias'!$C$11:$C$610,$H118,'3_Ventas_Diarias'!$A$11:$A$610,"&gt;="&amp;'4_Dashboard_DAMABIS'!$P$5,'3_Ventas_Diarias'!$A$11:$A$610,"&lt;="&amp;'4_Dashboard_DAMABIS'!$P$6))</f>
        <v/>
      </c>
      <c r="L118" s="8">
        <f>IF($H118="","",SUMIFS('3_Ventas_Diarias'!$J$11:$J$610,'3_Ventas_Diarias'!$C$11:$C$610,$H118,'3_Ventas_Diarias'!$A$11:$A$610,"&gt;="&amp;'4_Dashboard_DAMABIS'!$P$5,'3_Ventas_Diarias'!$A$11:$A$610,"&lt;="&amp;'4_Dashboard_DAMABIS'!$P$6))</f>
        <v/>
      </c>
      <c r="M118" s="9">
        <f>IF($H118="","",N($K118)+ROW()/1000000)</f>
        <v/>
      </c>
    </row>
    <row r="119">
      <c r="H119" s="11">
        <f>IF('2_Control_de_Stock'!$A$126="","",'2_Control_de_Stock'!$A$126)</f>
        <v/>
      </c>
      <c r="I119" s="11">
        <f>IF('2_Control_de_Stock'!$A$126="","",'2_Control_de_Stock'!$B$126)</f>
        <v/>
      </c>
      <c r="J119" s="12">
        <f>IF($H119="","",SUMIFS('3_Ventas_Diarias'!$E$11:$E$610,'3_Ventas_Diarias'!$C$11:$C$610,$H119,'3_Ventas_Diarias'!$A$11:$A$610,"&gt;="&amp;'4_Dashboard_DAMABIS'!$P$5,'3_Ventas_Diarias'!$A$11:$A$610,"&lt;="&amp;'4_Dashboard_DAMABIS'!$P$6))</f>
        <v/>
      </c>
      <c r="K119" s="13">
        <f>IF($H119="","",SUMIFS('3_Ventas_Diarias'!$G$11:$G$610,'3_Ventas_Diarias'!$C$11:$C$610,$H119,'3_Ventas_Diarias'!$A$11:$A$610,"&gt;="&amp;'4_Dashboard_DAMABIS'!$P$5,'3_Ventas_Diarias'!$A$11:$A$610,"&lt;="&amp;'4_Dashboard_DAMABIS'!$P$6))</f>
        <v/>
      </c>
      <c r="L119" s="13">
        <f>IF($H119="","",SUMIFS('3_Ventas_Diarias'!$J$11:$J$610,'3_Ventas_Diarias'!$C$11:$C$610,$H119,'3_Ventas_Diarias'!$A$11:$A$610,"&gt;="&amp;'4_Dashboard_DAMABIS'!$P$5,'3_Ventas_Diarias'!$A$11:$A$610,"&lt;="&amp;'4_Dashboard_DAMABIS'!$P$6))</f>
        <v/>
      </c>
      <c r="M119" s="14">
        <f>IF($H119="","",N($K119)+ROW()/1000000)</f>
        <v/>
      </c>
    </row>
    <row r="120">
      <c r="H120" s="6">
        <f>IF('2_Control_de_Stock'!$A$127="","",'2_Control_de_Stock'!$A$127)</f>
        <v/>
      </c>
      <c r="I120" s="6">
        <f>IF('2_Control_de_Stock'!$A$127="","",'2_Control_de_Stock'!$B$127)</f>
        <v/>
      </c>
      <c r="J120" s="7">
        <f>IF($H120="","",SUMIFS('3_Ventas_Diarias'!$E$11:$E$610,'3_Ventas_Diarias'!$C$11:$C$610,$H120,'3_Ventas_Diarias'!$A$11:$A$610,"&gt;="&amp;'4_Dashboard_DAMABIS'!$P$5,'3_Ventas_Diarias'!$A$11:$A$610,"&lt;="&amp;'4_Dashboard_DAMABIS'!$P$6))</f>
        <v/>
      </c>
      <c r="K120" s="8">
        <f>IF($H120="","",SUMIFS('3_Ventas_Diarias'!$G$11:$G$610,'3_Ventas_Diarias'!$C$11:$C$610,$H120,'3_Ventas_Diarias'!$A$11:$A$610,"&gt;="&amp;'4_Dashboard_DAMABIS'!$P$5,'3_Ventas_Diarias'!$A$11:$A$610,"&lt;="&amp;'4_Dashboard_DAMABIS'!$P$6))</f>
        <v/>
      </c>
      <c r="L120" s="8">
        <f>IF($H120="","",SUMIFS('3_Ventas_Diarias'!$J$11:$J$610,'3_Ventas_Diarias'!$C$11:$C$610,$H120,'3_Ventas_Diarias'!$A$11:$A$610,"&gt;="&amp;'4_Dashboard_DAMABIS'!$P$5,'3_Ventas_Diarias'!$A$11:$A$610,"&lt;="&amp;'4_Dashboard_DAMABIS'!$P$6))</f>
        <v/>
      </c>
      <c r="M120" s="9">
        <f>IF($H120="","",N($K120)+ROW()/1000000)</f>
        <v/>
      </c>
    </row>
    <row r="121">
      <c r="H121" s="11">
        <f>IF('2_Control_de_Stock'!$A$128="","",'2_Control_de_Stock'!$A$128)</f>
        <v/>
      </c>
      <c r="I121" s="11">
        <f>IF('2_Control_de_Stock'!$A$128="","",'2_Control_de_Stock'!$B$128)</f>
        <v/>
      </c>
      <c r="J121" s="12">
        <f>IF($H121="","",SUMIFS('3_Ventas_Diarias'!$E$11:$E$610,'3_Ventas_Diarias'!$C$11:$C$610,$H121,'3_Ventas_Diarias'!$A$11:$A$610,"&gt;="&amp;'4_Dashboard_DAMABIS'!$P$5,'3_Ventas_Diarias'!$A$11:$A$610,"&lt;="&amp;'4_Dashboard_DAMABIS'!$P$6))</f>
        <v/>
      </c>
      <c r="K121" s="13">
        <f>IF($H121="","",SUMIFS('3_Ventas_Diarias'!$G$11:$G$610,'3_Ventas_Diarias'!$C$11:$C$610,$H121,'3_Ventas_Diarias'!$A$11:$A$610,"&gt;="&amp;'4_Dashboard_DAMABIS'!$P$5,'3_Ventas_Diarias'!$A$11:$A$610,"&lt;="&amp;'4_Dashboard_DAMABIS'!$P$6))</f>
        <v/>
      </c>
      <c r="L121" s="13">
        <f>IF($H121="","",SUMIFS('3_Ventas_Diarias'!$J$11:$J$610,'3_Ventas_Diarias'!$C$11:$C$610,$H121,'3_Ventas_Diarias'!$A$11:$A$610,"&gt;="&amp;'4_Dashboard_DAMABIS'!$P$5,'3_Ventas_Diarias'!$A$11:$A$610,"&lt;="&amp;'4_Dashboard_DAMABIS'!$P$6))</f>
        <v/>
      </c>
      <c r="M121" s="14">
        <f>IF($H121="","",N($K121)+ROW()/1000000)</f>
        <v/>
      </c>
    </row>
    <row r="122">
      <c r="H122" s="6">
        <f>IF('2_Control_de_Stock'!$A$129="","",'2_Control_de_Stock'!$A$129)</f>
        <v/>
      </c>
      <c r="I122" s="6">
        <f>IF('2_Control_de_Stock'!$A$129="","",'2_Control_de_Stock'!$B$129)</f>
        <v/>
      </c>
      <c r="J122" s="7">
        <f>IF($H122="","",SUMIFS('3_Ventas_Diarias'!$E$11:$E$610,'3_Ventas_Diarias'!$C$11:$C$610,$H122,'3_Ventas_Diarias'!$A$11:$A$610,"&gt;="&amp;'4_Dashboard_DAMABIS'!$P$5,'3_Ventas_Diarias'!$A$11:$A$610,"&lt;="&amp;'4_Dashboard_DAMABIS'!$P$6))</f>
        <v/>
      </c>
      <c r="K122" s="8">
        <f>IF($H122="","",SUMIFS('3_Ventas_Diarias'!$G$11:$G$610,'3_Ventas_Diarias'!$C$11:$C$610,$H122,'3_Ventas_Diarias'!$A$11:$A$610,"&gt;="&amp;'4_Dashboard_DAMABIS'!$P$5,'3_Ventas_Diarias'!$A$11:$A$610,"&lt;="&amp;'4_Dashboard_DAMABIS'!$P$6))</f>
        <v/>
      </c>
      <c r="L122" s="8">
        <f>IF($H122="","",SUMIFS('3_Ventas_Diarias'!$J$11:$J$610,'3_Ventas_Diarias'!$C$11:$C$610,$H122,'3_Ventas_Diarias'!$A$11:$A$610,"&gt;="&amp;'4_Dashboard_DAMABIS'!$P$5,'3_Ventas_Diarias'!$A$11:$A$610,"&lt;="&amp;'4_Dashboard_DAMABIS'!$P$6))</f>
        <v/>
      </c>
      <c r="M122" s="9">
        <f>IF($H122="","",N($K122)+ROW()/1000000)</f>
        <v/>
      </c>
    </row>
    <row r="123">
      <c r="H123" s="11">
        <f>IF('2_Control_de_Stock'!$A$130="","",'2_Control_de_Stock'!$A$130)</f>
        <v/>
      </c>
      <c r="I123" s="11">
        <f>IF('2_Control_de_Stock'!$A$130="","",'2_Control_de_Stock'!$B$130)</f>
        <v/>
      </c>
      <c r="J123" s="12">
        <f>IF($H123="","",SUMIFS('3_Ventas_Diarias'!$E$11:$E$610,'3_Ventas_Diarias'!$C$11:$C$610,$H123,'3_Ventas_Diarias'!$A$11:$A$610,"&gt;="&amp;'4_Dashboard_DAMABIS'!$P$5,'3_Ventas_Diarias'!$A$11:$A$610,"&lt;="&amp;'4_Dashboard_DAMABIS'!$P$6))</f>
        <v/>
      </c>
      <c r="K123" s="13">
        <f>IF($H123="","",SUMIFS('3_Ventas_Diarias'!$G$11:$G$610,'3_Ventas_Diarias'!$C$11:$C$610,$H123,'3_Ventas_Diarias'!$A$11:$A$610,"&gt;="&amp;'4_Dashboard_DAMABIS'!$P$5,'3_Ventas_Diarias'!$A$11:$A$610,"&lt;="&amp;'4_Dashboard_DAMABIS'!$P$6))</f>
        <v/>
      </c>
      <c r="L123" s="13">
        <f>IF($H123="","",SUMIFS('3_Ventas_Diarias'!$J$11:$J$610,'3_Ventas_Diarias'!$C$11:$C$610,$H123,'3_Ventas_Diarias'!$A$11:$A$610,"&gt;="&amp;'4_Dashboard_DAMABIS'!$P$5,'3_Ventas_Diarias'!$A$11:$A$610,"&lt;="&amp;'4_Dashboard_DAMABIS'!$P$6))</f>
        <v/>
      </c>
      <c r="M123" s="14">
        <f>IF($H123="","",N($K123)+ROW()/1000000)</f>
        <v/>
      </c>
    </row>
    <row r="124">
      <c r="H124" s="6">
        <f>IF('2_Control_de_Stock'!$A$131="","",'2_Control_de_Stock'!$A$131)</f>
        <v/>
      </c>
      <c r="I124" s="6">
        <f>IF('2_Control_de_Stock'!$A$131="","",'2_Control_de_Stock'!$B$131)</f>
        <v/>
      </c>
      <c r="J124" s="7">
        <f>IF($H124="","",SUMIFS('3_Ventas_Diarias'!$E$11:$E$610,'3_Ventas_Diarias'!$C$11:$C$610,$H124,'3_Ventas_Diarias'!$A$11:$A$610,"&gt;="&amp;'4_Dashboard_DAMABIS'!$P$5,'3_Ventas_Diarias'!$A$11:$A$610,"&lt;="&amp;'4_Dashboard_DAMABIS'!$P$6))</f>
        <v/>
      </c>
      <c r="K124" s="8">
        <f>IF($H124="","",SUMIFS('3_Ventas_Diarias'!$G$11:$G$610,'3_Ventas_Diarias'!$C$11:$C$610,$H124,'3_Ventas_Diarias'!$A$11:$A$610,"&gt;="&amp;'4_Dashboard_DAMABIS'!$P$5,'3_Ventas_Diarias'!$A$11:$A$610,"&lt;="&amp;'4_Dashboard_DAMABIS'!$P$6))</f>
        <v/>
      </c>
      <c r="L124" s="8">
        <f>IF($H124="","",SUMIFS('3_Ventas_Diarias'!$J$11:$J$610,'3_Ventas_Diarias'!$C$11:$C$610,$H124,'3_Ventas_Diarias'!$A$11:$A$610,"&gt;="&amp;'4_Dashboard_DAMABIS'!$P$5,'3_Ventas_Diarias'!$A$11:$A$610,"&lt;="&amp;'4_Dashboard_DAMABIS'!$P$6))</f>
        <v/>
      </c>
      <c r="M124" s="9">
        <f>IF($H124="","",N($K124)+ROW()/1000000)</f>
        <v/>
      </c>
    </row>
    <row r="125">
      <c r="H125" s="11">
        <f>IF('2_Control_de_Stock'!$A$132="","",'2_Control_de_Stock'!$A$132)</f>
        <v/>
      </c>
      <c r="I125" s="11">
        <f>IF('2_Control_de_Stock'!$A$132="","",'2_Control_de_Stock'!$B$132)</f>
        <v/>
      </c>
      <c r="J125" s="12">
        <f>IF($H125="","",SUMIFS('3_Ventas_Diarias'!$E$11:$E$610,'3_Ventas_Diarias'!$C$11:$C$610,$H125,'3_Ventas_Diarias'!$A$11:$A$610,"&gt;="&amp;'4_Dashboard_DAMABIS'!$P$5,'3_Ventas_Diarias'!$A$11:$A$610,"&lt;="&amp;'4_Dashboard_DAMABIS'!$P$6))</f>
        <v/>
      </c>
      <c r="K125" s="13">
        <f>IF($H125="","",SUMIFS('3_Ventas_Diarias'!$G$11:$G$610,'3_Ventas_Diarias'!$C$11:$C$610,$H125,'3_Ventas_Diarias'!$A$11:$A$610,"&gt;="&amp;'4_Dashboard_DAMABIS'!$P$5,'3_Ventas_Diarias'!$A$11:$A$610,"&lt;="&amp;'4_Dashboard_DAMABIS'!$P$6))</f>
        <v/>
      </c>
      <c r="L125" s="13">
        <f>IF($H125="","",SUMIFS('3_Ventas_Diarias'!$J$11:$J$610,'3_Ventas_Diarias'!$C$11:$C$610,$H125,'3_Ventas_Diarias'!$A$11:$A$610,"&gt;="&amp;'4_Dashboard_DAMABIS'!$P$5,'3_Ventas_Diarias'!$A$11:$A$610,"&lt;="&amp;'4_Dashboard_DAMABIS'!$P$6))</f>
        <v/>
      </c>
      <c r="M125" s="14">
        <f>IF($H125="","",N($K125)+ROW()/1000000)</f>
        <v/>
      </c>
    </row>
    <row r="126">
      <c r="H126" s="6">
        <f>IF('2_Control_de_Stock'!$A$133="","",'2_Control_de_Stock'!$A$133)</f>
        <v/>
      </c>
      <c r="I126" s="6">
        <f>IF('2_Control_de_Stock'!$A$133="","",'2_Control_de_Stock'!$B$133)</f>
        <v/>
      </c>
      <c r="J126" s="7">
        <f>IF($H126="","",SUMIFS('3_Ventas_Diarias'!$E$11:$E$610,'3_Ventas_Diarias'!$C$11:$C$610,$H126,'3_Ventas_Diarias'!$A$11:$A$610,"&gt;="&amp;'4_Dashboard_DAMABIS'!$P$5,'3_Ventas_Diarias'!$A$11:$A$610,"&lt;="&amp;'4_Dashboard_DAMABIS'!$P$6))</f>
        <v/>
      </c>
      <c r="K126" s="8">
        <f>IF($H126="","",SUMIFS('3_Ventas_Diarias'!$G$11:$G$610,'3_Ventas_Diarias'!$C$11:$C$610,$H126,'3_Ventas_Diarias'!$A$11:$A$610,"&gt;="&amp;'4_Dashboard_DAMABIS'!$P$5,'3_Ventas_Diarias'!$A$11:$A$610,"&lt;="&amp;'4_Dashboard_DAMABIS'!$P$6))</f>
        <v/>
      </c>
      <c r="L126" s="8">
        <f>IF($H126="","",SUMIFS('3_Ventas_Diarias'!$J$11:$J$610,'3_Ventas_Diarias'!$C$11:$C$610,$H126,'3_Ventas_Diarias'!$A$11:$A$610,"&gt;="&amp;'4_Dashboard_DAMABIS'!$P$5,'3_Ventas_Diarias'!$A$11:$A$610,"&lt;="&amp;'4_Dashboard_DAMABIS'!$P$6))</f>
        <v/>
      </c>
      <c r="M126" s="9">
        <f>IF($H126="","",N($K126)+ROW()/1000000)</f>
        <v/>
      </c>
    </row>
    <row r="127">
      <c r="H127" s="11">
        <f>IF('2_Control_de_Stock'!$A$134="","",'2_Control_de_Stock'!$A$134)</f>
        <v/>
      </c>
      <c r="I127" s="11">
        <f>IF('2_Control_de_Stock'!$A$134="","",'2_Control_de_Stock'!$B$134)</f>
        <v/>
      </c>
      <c r="J127" s="12">
        <f>IF($H127="","",SUMIFS('3_Ventas_Diarias'!$E$11:$E$610,'3_Ventas_Diarias'!$C$11:$C$610,$H127,'3_Ventas_Diarias'!$A$11:$A$610,"&gt;="&amp;'4_Dashboard_DAMABIS'!$P$5,'3_Ventas_Diarias'!$A$11:$A$610,"&lt;="&amp;'4_Dashboard_DAMABIS'!$P$6))</f>
        <v/>
      </c>
      <c r="K127" s="13">
        <f>IF($H127="","",SUMIFS('3_Ventas_Diarias'!$G$11:$G$610,'3_Ventas_Diarias'!$C$11:$C$610,$H127,'3_Ventas_Diarias'!$A$11:$A$610,"&gt;="&amp;'4_Dashboard_DAMABIS'!$P$5,'3_Ventas_Diarias'!$A$11:$A$610,"&lt;="&amp;'4_Dashboard_DAMABIS'!$P$6))</f>
        <v/>
      </c>
      <c r="L127" s="13">
        <f>IF($H127="","",SUMIFS('3_Ventas_Diarias'!$J$11:$J$610,'3_Ventas_Diarias'!$C$11:$C$610,$H127,'3_Ventas_Diarias'!$A$11:$A$610,"&gt;="&amp;'4_Dashboard_DAMABIS'!$P$5,'3_Ventas_Diarias'!$A$11:$A$610,"&lt;="&amp;'4_Dashboard_DAMABIS'!$P$6))</f>
        <v/>
      </c>
      <c r="M127" s="14">
        <f>IF($H127="","",N($K127)+ROW()/1000000)</f>
        <v/>
      </c>
    </row>
    <row r="128">
      <c r="H128" s="6">
        <f>IF('2_Control_de_Stock'!$A$135="","",'2_Control_de_Stock'!$A$135)</f>
        <v/>
      </c>
      <c r="I128" s="6">
        <f>IF('2_Control_de_Stock'!$A$135="","",'2_Control_de_Stock'!$B$135)</f>
        <v/>
      </c>
      <c r="J128" s="7">
        <f>IF($H128="","",SUMIFS('3_Ventas_Diarias'!$E$11:$E$610,'3_Ventas_Diarias'!$C$11:$C$610,$H128,'3_Ventas_Diarias'!$A$11:$A$610,"&gt;="&amp;'4_Dashboard_DAMABIS'!$P$5,'3_Ventas_Diarias'!$A$11:$A$610,"&lt;="&amp;'4_Dashboard_DAMABIS'!$P$6))</f>
        <v/>
      </c>
      <c r="K128" s="8">
        <f>IF($H128="","",SUMIFS('3_Ventas_Diarias'!$G$11:$G$610,'3_Ventas_Diarias'!$C$11:$C$610,$H128,'3_Ventas_Diarias'!$A$11:$A$610,"&gt;="&amp;'4_Dashboard_DAMABIS'!$P$5,'3_Ventas_Diarias'!$A$11:$A$610,"&lt;="&amp;'4_Dashboard_DAMABIS'!$P$6))</f>
        <v/>
      </c>
      <c r="L128" s="8">
        <f>IF($H128="","",SUMIFS('3_Ventas_Diarias'!$J$11:$J$610,'3_Ventas_Diarias'!$C$11:$C$610,$H128,'3_Ventas_Diarias'!$A$11:$A$610,"&gt;="&amp;'4_Dashboard_DAMABIS'!$P$5,'3_Ventas_Diarias'!$A$11:$A$610,"&lt;="&amp;'4_Dashboard_DAMABIS'!$P$6))</f>
        <v/>
      </c>
      <c r="M128" s="9">
        <f>IF($H128="","",N($K128)+ROW()/1000000)</f>
        <v/>
      </c>
    </row>
    <row r="129">
      <c r="H129" s="11">
        <f>IF('2_Control_de_Stock'!$A$136="","",'2_Control_de_Stock'!$A$136)</f>
        <v/>
      </c>
      <c r="I129" s="11">
        <f>IF('2_Control_de_Stock'!$A$136="","",'2_Control_de_Stock'!$B$136)</f>
        <v/>
      </c>
      <c r="J129" s="12">
        <f>IF($H129="","",SUMIFS('3_Ventas_Diarias'!$E$11:$E$610,'3_Ventas_Diarias'!$C$11:$C$610,$H129,'3_Ventas_Diarias'!$A$11:$A$610,"&gt;="&amp;'4_Dashboard_DAMABIS'!$P$5,'3_Ventas_Diarias'!$A$11:$A$610,"&lt;="&amp;'4_Dashboard_DAMABIS'!$P$6))</f>
        <v/>
      </c>
      <c r="K129" s="13">
        <f>IF($H129="","",SUMIFS('3_Ventas_Diarias'!$G$11:$G$610,'3_Ventas_Diarias'!$C$11:$C$610,$H129,'3_Ventas_Diarias'!$A$11:$A$610,"&gt;="&amp;'4_Dashboard_DAMABIS'!$P$5,'3_Ventas_Diarias'!$A$11:$A$610,"&lt;="&amp;'4_Dashboard_DAMABIS'!$P$6))</f>
        <v/>
      </c>
      <c r="L129" s="13">
        <f>IF($H129="","",SUMIFS('3_Ventas_Diarias'!$J$11:$J$610,'3_Ventas_Diarias'!$C$11:$C$610,$H129,'3_Ventas_Diarias'!$A$11:$A$610,"&gt;="&amp;'4_Dashboard_DAMABIS'!$P$5,'3_Ventas_Diarias'!$A$11:$A$610,"&lt;="&amp;'4_Dashboard_DAMABIS'!$P$6))</f>
        <v/>
      </c>
      <c r="M129" s="14">
        <f>IF($H129="","",N($K129)+ROW()/1000000)</f>
        <v/>
      </c>
    </row>
    <row r="130">
      <c r="H130" s="6">
        <f>IF('2_Control_de_Stock'!$A$137="","",'2_Control_de_Stock'!$A$137)</f>
        <v/>
      </c>
      <c r="I130" s="6">
        <f>IF('2_Control_de_Stock'!$A$137="","",'2_Control_de_Stock'!$B$137)</f>
        <v/>
      </c>
      <c r="J130" s="7">
        <f>IF($H130="","",SUMIFS('3_Ventas_Diarias'!$E$11:$E$610,'3_Ventas_Diarias'!$C$11:$C$610,$H130,'3_Ventas_Diarias'!$A$11:$A$610,"&gt;="&amp;'4_Dashboard_DAMABIS'!$P$5,'3_Ventas_Diarias'!$A$11:$A$610,"&lt;="&amp;'4_Dashboard_DAMABIS'!$P$6))</f>
        <v/>
      </c>
      <c r="K130" s="8">
        <f>IF($H130="","",SUMIFS('3_Ventas_Diarias'!$G$11:$G$610,'3_Ventas_Diarias'!$C$11:$C$610,$H130,'3_Ventas_Diarias'!$A$11:$A$610,"&gt;="&amp;'4_Dashboard_DAMABIS'!$P$5,'3_Ventas_Diarias'!$A$11:$A$610,"&lt;="&amp;'4_Dashboard_DAMABIS'!$P$6))</f>
        <v/>
      </c>
      <c r="L130" s="8">
        <f>IF($H130="","",SUMIFS('3_Ventas_Diarias'!$J$11:$J$610,'3_Ventas_Diarias'!$C$11:$C$610,$H130,'3_Ventas_Diarias'!$A$11:$A$610,"&gt;="&amp;'4_Dashboard_DAMABIS'!$P$5,'3_Ventas_Diarias'!$A$11:$A$610,"&lt;="&amp;'4_Dashboard_DAMABIS'!$P$6))</f>
        <v/>
      </c>
      <c r="M130" s="9">
        <f>IF($H130="","",N($K130)+ROW()/1000000)</f>
        <v/>
      </c>
    </row>
    <row r="131">
      <c r="H131" s="11">
        <f>IF('2_Control_de_Stock'!$A$138="","",'2_Control_de_Stock'!$A$138)</f>
        <v/>
      </c>
      <c r="I131" s="11">
        <f>IF('2_Control_de_Stock'!$A$138="","",'2_Control_de_Stock'!$B$138)</f>
        <v/>
      </c>
      <c r="J131" s="12">
        <f>IF($H131="","",SUMIFS('3_Ventas_Diarias'!$E$11:$E$610,'3_Ventas_Diarias'!$C$11:$C$610,$H131,'3_Ventas_Diarias'!$A$11:$A$610,"&gt;="&amp;'4_Dashboard_DAMABIS'!$P$5,'3_Ventas_Diarias'!$A$11:$A$610,"&lt;="&amp;'4_Dashboard_DAMABIS'!$P$6))</f>
        <v/>
      </c>
      <c r="K131" s="13">
        <f>IF($H131="","",SUMIFS('3_Ventas_Diarias'!$G$11:$G$610,'3_Ventas_Diarias'!$C$11:$C$610,$H131,'3_Ventas_Diarias'!$A$11:$A$610,"&gt;="&amp;'4_Dashboard_DAMABIS'!$P$5,'3_Ventas_Diarias'!$A$11:$A$610,"&lt;="&amp;'4_Dashboard_DAMABIS'!$P$6))</f>
        <v/>
      </c>
      <c r="L131" s="13">
        <f>IF($H131="","",SUMIFS('3_Ventas_Diarias'!$J$11:$J$610,'3_Ventas_Diarias'!$C$11:$C$610,$H131,'3_Ventas_Diarias'!$A$11:$A$610,"&gt;="&amp;'4_Dashboard_DAMABIS'!$P$5,'3_Ventas_Diarias'!$A$11:$A$610,"&lt;="&amp;'4_Dashboard_DAMABIS'!$P$6))</f>
        <v/>
      </c>
      <c r="M131" s="14">
        <f>IF($H131="","",N($K131)+ROW()/1000000)</f>
        <v/>
      </c>
    </row>
    <row r="132">
      <c r="H132" s="6">
        <f>IF('2_Control_de_Stock'!$A$139="","",'2_Control_de_Stock'!$A$139)</f>
        <v/>
      </c>
      <c r="I132" s="6">
        <f>IF('2_Control_de_Stock'!$A$139="","",'2_Control_de_Stock'!$B$139)</f>
        <v/>
      </c>
      <c r="J132" s="7">
        <f>IF($H132="","",SUMIFS('3_Ventas_Diarias'!$E$11:$E$610,'3_Ventas_Diarias'!$C$11:$C$610,$H132,'3_Ventas_Diarias'!$A$11:$A$610,"&gt;="&amp;'4_Dashboard_DAMABIS'!$P$5,'3_Ventas_Diarias'!$A$11:$A$610,"&lt;="&amp;'4_Dashboard_DAMABIS'!$P$6))</f>
        <v/>
      </c>
      <c r="K132" s="8">
        <f>IF($H132="","",SUMIFS('3_Ventas_Diarias'!$G$11:$G$610,'3_Ventas_Diarias'!$C$11:$C$610,$H132,'3_Ventas_Diarias'!$A$11:$A$610,"&gt;="&amp;'4_Dashboard_DAMABIS'!$P$5,'3_Ventas_Diarias'!$A$11:$A$610,"&lt;="&amp;'4_Dashboard_DAMABIS'!$P$6))</f>
        <v/>
      </c>
      <c r="L132" s="8">
        <f>IF($H132="","",SUMIFS('3_Ventas_Diarias'!$J$11:$J$610,'3_Ventas_Diarias'!$C$11:$C$610,$H132,'3_Ventas_Diarias'!$A$11:$A$610,"&gt;="&amp;'4_Dashboard_DAMABIS'!$P$5,'3_Ventas_Diarias'!$A$11:$A$610,"&lt;="&amp;'4_Dashboard_DAMABIS'!$P$6))</f>
        <v/>
      </c>
      <c r="M132" s="9">
        <f>IF($H132="","",N($K132)+ROW()/1000000)</f>
        <v/>
      </c>
    </row>
    <row r="133">
      <c r="H133" s="11">
        <f>IF('2_Control_de_Stock'!$A$140="","",'2_Control_de_Stock'!$A$140)</f>
        <v/>
      </c>
      <c r="I133" s="11">
        <f>IF('2_Control_de_Stock'!$A$140="","",'2_Control_de_Stock'!$B$140)</f>
        <v/>
      </c>
      <c r="J133" s="12">
        <f>IF($H133="","",SUMIFS('3_Ventas_Diarias'!$E$11:$E$610,'3_Ventas_Diarias'!$C$11:$C$610,$H133,'3_Ventas_Diarias'!$A$11:$A$610,"&gt;="&amp;'4_Dashboard_DAMABIS'!$P$5,'3_Ventas_Diarias'!$A$11:$A$610,"&lt;="&amp;'4_Dashboard_DAMABIS'!$P$6))</f>
        <v/>
      </c>
      <c r="K133" s="13">
        <f>IF($H133="","",SUMIFS('3_Ventas_Diarias'!$G$11:$G$610,'3_Ventas_Diarias'!$C$11:$C$610,$H133,'3_Ventas_Diarias'!$A$11:$A$610,"&gt;="&amp;'4_Dashboard_DAMABIS'!$P$5,'3_Ventas_Diarias'!$A$11:$A$610,"&lt;="&amp;'4_Dashboard_DAMABIS'!$P$6))</f>
        <v/>
      </c>
      <c r="L133" s="13">
        <f>IF($H133="","",SUMIFS('3_Ventas_Diarias'!$J$11:$J$610,'3_Ventas_Diarias'!$C$11:$C$610,$H133,'3_Ventas_Diarias'!$A$11:$A$610,"&gt;="&amp;'4_Dashboard_DAMABIS'!$P$5,'3_Ventas_Diarias'!$A$11:$A$610,"&lt;="&amp;'4_Dashboard_DAMABIS'!$P$6))</f>
        <v/>
      </c>
      <c r="M133" s="14">
        <f>IF($H133="","",N($K133)+ROW()/1000000)</f>
        <v/>
      </c>
    </row>
    <row r="134">
      <c r="H134" s="6">
        <f>IF('2_Control_de_Stock'!$A$141="","",'2_Control_de_Stock'!$A$141)</f>
        <v/>
      </c>
      <c r="I134" s="6">
        <f>IF('2_Control_de_Stock'!$A$141="","",'2_Control_de_Stock'!$B$141)</f>
        <v/>
      </c>
      <c r="J134" s="7">
        <f>IF($H134="","",SUMIFS('3_Ventas_Diarias'!$E$11:$E$610,'3_Ventas_Diarias'!$C$11:$C$610,$H134,'3_Ventas_Diarias'!$A$11:$A$610,"&gt;="&amp;'4_Dashboard_DAMABIS'!$P$5,'3_Ventas_Diarias'!$A$11:$A$610,"&lt;="&amp;'4_Dashboard_DAMABIS'!$P$6))</f>
        <v/>
      </c>
      <c r="K134" s="8">
        <f>IF($H134="","",SUMIFS('3_Ventas_Diarias'!$G$11:$G$610,'3_Ventas_Diarias'!$C$11:$C$610,$H134,'3_Ventas_Diarias'!$A$11:$A$610,"&gt;="&amp;'4_Dashboard_DAMABIS'!$P$5,'3_Ventas_Diarias'!$A$11:$A$610,"&lt;="&amp;'4_Dashboard_DAMABIS'!$P$6))</f>
        <v/>
      </c>
      <c r="L134" s="8">
        <f>IF($H134="","",SUMIFS('3_Ventas_Diarias'!$J$11:$J$610,'3_Ventas_Diarias'!$C$11:$C$610,$H134,'3_Ventas_Diarias'!$A$11:$A$610,"&gt;="&amp;'4_Dashboard_DAMABIS'!$P$5,'3_Ventas_Diarias'!$A$11:$A$610,"&lt;="&amp;'4_Dashboard_DAMABIS'!$P$6))</f>
        <v/>
      </c>
      <c r="M134" s="9">
        <f>IF($H134="","",N($K134)+ROW()/1000000)</f>
        <v/>
      </c>
    </row>
    <row r="135">
      <c r="H135" s="11">
        <f>IF('2_Control_de_Stock'!$A$142="","",'2_Control_de_Stock'!$A$142)</f>
        <v/>
      </c>
      <c r="I135" s="11">
        <f>IF('2_Control_de_Stock'!$A$142="","",'2_Control_de_Stock'!$B$142)</f>
        <v/>
      </c>
      <c r="J135" s="12">
        <f>IF($H135="","",SUMIFS('3_Ventas_Diarias'!$E$11:$E$610,'3_Ventas_Diarias'!$C$11:$C$610,$H135,'3_Ventas_Diarias'!$A$11:$A$610,"&gt;="&amp;'4_Dashboard_DAMABIS'!$P$5,'3_Ventas_Diarias'!$A$11:$A$610,"&lt;="&amp;'4_Dashboard_DAMABIS'!$P$6))</f>
        <v/>
      </c>
      <c r="K135" s="13">
        <f>IF($H135="","",SUMIFS('3_Ventas_Diarias'!$G$11:$G$610,'3_Ventas_Diarias'!$C$11:$C$610,$H135,'3_Ventas_Diarias'!$A$11:$A$610,"&gt;="&amp;'4_Dashboard_DAMABIS'!$P$5,'3_Ventas_Diarias'!$A$11:$A$610,"&lt;="&amp;'4_Dashboard_DAMABIS'!$P$6))</f>
        <v/>
      </c>
      <c r="L135" s="13">
        <f>IF($H135="","",SUMIFS('3_Ventas_Diarias'!$J$11:$J$610,'3_Ventas_Diarias'!$C$11:$C$610,$H135,'3_Ventas_Diarias'!$A$11:$A$610,"&gt;="&amp;'4_Dashboard_DAMABIS'!$P$5,'3_Ventas_Diarias'!$A$11:$A$610,"&lt;="&amp;'4_Dashboard_DAMABIS'!$P$6))</f>
        <v/>
      </c>
      <c r="M135" s="14">
        <f>IF($H135="","",N($K135)+ROW()/1000000)</f>
        <v/>
      </c>
    </row>
    <row r="136">
      <c r="H136" s="6">
        <f>IF('2_Control_de_Stock'!$A$143="","",'2_Control_de_Stock'!$A$143)</f>
        <v/>
      </c>
      <c r="I136" s="6">
        <f>IF('2_Control_de_Stock'!$A$143="","",'2_Control_de_Stock'!$B$143)</f>
        <v/>
      </c>
      <c r="J136" s="7">
        <f>IF($H136="","",SUMIFS('3_Ventas_Diarias'!$E$11:$E$610,'3_Ventas_Diarias'!$C$11:$C$610,$H136,'3_Ventas_Diarias'!$A$11:$A$610,"&gt;="&amp;'4_Dashboard_DAMABIS'!$P$5,'3_Ventas_Diarias'!$A$11:$A$610,"&lt;="&amp;'4_Dashboard_DAMABIS'!$P$6))</f>
        <v/>
      </c>
      <c r="K136" s="8">
        <f>IF($H136="","",SUMIFS('3_Ventas_Diarias'!$G$11:$G$610,'3_Ventas_Diarias'!$C$11:$C$610,$H136,'3_Ventas_Diarias'!$A$11:$A$610,"&gt;="&amp;'4_Dashboard_DAMABIS'!$P$5,'3_Ventas_Diarias'!$A$11:$A$610,"&lt;="&amp;'4_Dashboard_DAMABIS'!$P$6))</f>
        <v/>
      </c>
      <c r="L136" s="8">
        <f>IF($H136="","",SUMIFS('3_Ventas_Diarias'!$J$11:$J$610,'3_Ventas_Diarias'!$C$11:$C$610,$H136,'3_Ventas_Diarias'!$A$11:$A$610,"&gt;="&amp;'4_Dashboard_DAMABIS'!$P$5,'3_Ventas_Diarias'!$A$11:$A$610,"&lt;="&amp;'4_Dashboard_DAMABIS'!$P$6))</f>
        <v/>
      </c>
      <c r="M136" s="9">
        <f>IF($H136="","",N($K136)+ROW()/1000000)</f>
        <v/>
      </c>
    </row>
    <row r="137">
      <c r="H137" s="11">
        <f>IF('2_Control_de_Stock'!$A$144="","",'2_Control_de_Stock'!$A$144)</f>
        <v/>
      </c>
      <c r="I137" s="11">
        <f>IF('2_Control_de_Stock'!$A$144="","",'2_Control_de_Stock'!$B$144)</f>
        <v/>
      </c>
      <c r="J137" s="12">
        <f>IF($H137="","",SUMIFS('3_Ventas_Diarias'!$E$11:$E$610,'3_Ventas_Diarias'!$C$11:$C$610,$H137,'3_Ventas_Diarias'!$A$11:$A$610,"&gt;="&amp;'4_Dashboard_DAMABIS'!$P$5,'3_Ventas_Diarias'!$A$11:$A$610,"&lt;="&amp;'4_Dashboard_DAMABIS'!$P$6))</f>
        <v/>
      </c>
      <c r="K137" s="13">
        <f>IF($H137="","",SUMIFS('3_Ventas_Diarias'!$G$11:$G$610,'3_Ventas_Diarias'!$C$11:$C$610,$H137,'3_Ventas_Diarias'!$A$11:$A$610,"&gt;="&amp;'4_Dashboard_DAMABIS'!$P$5,'3_Ventas_Diarias'!$A$11:$A$610,"&lt;="&amp;'4_Dashboard_DAMABIS'!$P$6))</f>
        <v/>
      </c>
      <c r="L137" s="13">
        <f>IF($H137="","",SUMIFS('3_Ventas_Diarias'!$J$11:$J$610,'3_Ventas_Diarias'!$C$11:$C$610,$H137,'3_Ventas_Diarias'!$A$11:$A$610,"&gt;="&amp;'4_Dashboard_DAMABIS'!$P$5,'3_Ventas_Diarias'!$A$11:$A$610,"&lt;="&amp;'4_Dashboard_DAMABIS'!$P$6))</f>
        <v/>
      </c>
      <c r="M137" s="14">
        <f>IF($H137="","",N($K137)+ROW()/1000000)</f>
        <v/>
      </c>
    </row>
    <row r="138">
      <c r="H138" s="6">
        <f>IF('2_Control_de_Stock'!$A$145="","",'2_Control_de_Stock'!$A$145)</f>
        <v/>
      </c>
      <c r="I138" s="6">
        <f>IF('2_Control_de_Stock'!$A$145="","",'2_Control_de_Stock'!$B$145)</f>
        <v/>
      </c>
      <c r="J138" s="7">
        <f>IF($H138="","",SUMIFS('3_Ventas_Diarias'!$E$11:$E$610,'3_Ventas_Diarias'!$C$11:$C$610,$H138,'3_Ventas_Diarias'!$A$11:$A$610,"&gt;="&amp;'4_Dashboard_DAMABIS'!$P$5,'3_Ventas_Diarias'!$A$11:$A$610,"&lt;="&amp;'4_Dashboard_DAMABIS'!$P$6))</f>
        <v/>
      </c>
      <c r="K138" s="8">
        <f>IF($H138="","",SUMIFS('3_Ventas_Diarias'!$G$11:$G$610,'3_Ventas_Diarias'!$C$11:$C$610,$H138,'3_Ventas_Diarias'!$A$11:$A$610,"&gt;="&amp;'4_Dashboard_DAMABIS'!$P$5,'3_Ventas_Diarias'!$A$11:$A$610,"&lt;="&amp;'4_Dashboard_DAMABIS'!$P$6))</f>
        <v/>
      </c>
      <c r="L138" s="8">
        <f>IF($H138="","",SUMIFS('3_Ventas_Diarias'!$J$11:$J$610,'3_Ventas_Diarias'!$C$11:$C$610,$H138,'3_Ventas_Diarias'!$A$11:$A$610,"&gt;="&amp;'4_Dashboard_DAMABIS'!$P$5,'3_Ventas_Diarias'!$A$11:$A$610,"&lt;="&amp;'4_Dashboard_DAMABIS'!$P$6))</f>
        <v/>
      </c>
      <c r="M138" s="9">
        <f>IF($H138="","",N($K138)+ROW()/1000000)</f>
        <v/>
      </c>
    </row>
    <row r="139">
      <c r="H139" s="11">
        <f>IF('2_Control_de_Stock'!$A$146="","",'2_Control_de_Stock'!$A$146)</f>
        <v/>
      </c>
      <c r="I139" s="11">
        <f>IF('2_Control_de_Stock'!$A$146="","",'2_Control_de_Stock'!$B$146)</f>
        <v/>
      </c>
      <c r="J139" s="12">
        <f>IF($H139="","",SUMIFS('3_Ventas_Diarias'!$E$11:$E$610,'3_Ventas_Diarias'!$C$11:$C$610,$H139,'3_Ventas_Diarias'!$A$11:$A$610,"&gt;="&amp;'4_Dashboard_DAMABIS'!$P$5,'3_Ventas_Diarias'!$A$11:$A$610,"&lt;="&amp;'4_Dashboard_DAMABIS'!$P$6))</f>
        <v/>
      </c>
      <c r="K139" s="13">
        <f>IF($H139="","",SUMIFS('3_Ventas_Diarias'!$G$11:$G$610,'3_Ventas_Diarias'!$C$11:$C$610,$H139,'3_Ventas_Diarias'!$A$11:$A$610,"&gt;="&amp;'4_Dashboard_DAMABIS'!$P$5,'3_Ventas_Diarias'!$A$11:$A$610,"&lt;="&amp;'4_Dashboard_DAMABIS'!$P$6))</f>
        <v/>
      </c>
      <c r="L139" s="13">
        <f>IF($H139="","",SUMIFS('3_Ventas_Diarias'!$J$11:$J$610,'3_Ventas_Diarias'!$C$11:$C$610,$H139,'3_Ventas_Diarias'!$A$11:$A$610,"&gt;="&amp;'4_Dashboard_DAMABIS'!$P$5,'3_Ventas_Diarias'!$A$11:$A$610,"&lt;="&amp;'4_Dashboard_DAMABIS'!$P$6))</f>
        <v/>
      </c>
      <c r="M139" s="14">
        <f>IF($H139="","",N($K139)+ROW()/1000000)</f>
        <v/>
      </c>
    </row>
    <row r="140">
      <c r="H140" s="6">
        <f>IF('2_Control_de_Stock'!$A$147="","",'2_Control_de_Stock'!$A$147)</f>
        <v/>
      </c>
      <c r="I140" s="6">
        <f>IF('2_Control_de_Stock'!$A$147="","",'2_Control_de_Stock'!$B$147)</f>
        <v/>
      </c>
      <c r="J140" s="7">
        <f>IF($H140="","",SUMIFS('3_Ventas_Diarias'!$E$11:$E$610,'3_Ventas_Diarias'!$C$11:$C$610,$H140,'3_Ventas_Diarias'!$A$11:$A$610,"&gt;="&amp;'4_Dashboard_DAMABIS'!$P$5,'3_Ventas_Diarias'!$A$11:$A$610,"&lt;="&amp;'4_Dashboard_DAMABIS'!$P$6))</f>
        <v/>
      </c>
      <c r="K140" s="8">
        <f>IF($H140="","",SUMIFS('3_Ventas_Diarias'!$G$11:$G$610,'3_Ventas_Diarias'!$C$11:$C$610,$H140,'3_Ventas_Diarias'!$A$11:$A$610,"&gt;="&amp;'4_Dashboard_DAMABIS'!$P$5,'3_Ventas_Diarias'!$A$11:$A$610,"&lt;="&amp;'4_Dashboard_DAMABIS'!$P$6))</f>
        <v/>
      </c>
      <c r="L140" s="8">
        <f>IF($H140="","",SUMIFS('3_Ventas_Diarias'!$J$11:$J$610,'3_Ventas_Diarias'!$C$11:$C$610,$H140,'3_Ventas_Diarias'!$A$11:$A$610,"&gt;="&amp;'4_Dashboard_DAMABIS'!$P$5,'3_Ventas_Diarias'!$A$11:$A$610,"&lt;="&amp;'4_Dashboard_DAMABIS'!$P$6))</f>
        <v/>
      </c>
      <c r="M140" s="9">
        <f>IF($H140="","",N($K140)+ROW()/1000000)</f>
        <v/>
      </c>
    </row>
    <row r="141">
      <c r="H141" s="11">
        <f>IF('2_Control_de_Stock'!$A$148="","",'2_Control_de_Stock'!$A$148)</f>
        <v/>
      </c>
      <c r="I141" s="11">
        <f>IF('2_Control_de_Stock'!$A$148="","",'2_Control_de_Stock'!$B$148)</f>
        <v/>
      </c>
      <c r="J141" s="12">
        <f>IF($H141="","",SUMIFS('3_Ventas_Diarias'!$E$11:$E$610,'3_Ventas_Diarias'!$C$11:$C$610,$H141,'3_Ventas_Diarias'!$A$11:$A$610,"&gt;="&amp;'4_Dashboard_DAMABIS'!$P$5,'3_Ventas_Diarias'!$A$11:$A$610,"&lt;="&amp;'4_Dashboard_DAMABIS'!$P$6))</f>
        <v/>
      </c>
      <c r="K141" s="13">
        <f>IF($H141="","",SUMIFS('3_Ventas_Diarias'!$G$11:$G$610,'3_Ventas_Diarias'!$C$11:$C$610,$H141,'3_Ventas_Diarias'!$A$11:$A$610,"&gt;="&amp;'4_Dashboard_DAMABIS'!$P$5,'3_Ventas_Diarias'!$A$11:$A$610,"&lt;="&amp;'4_Dashboard_DAMABIS'!$P$6))</f>
        <v/>
      </c>
      <c r="L141" s="13">
        <f>IF($H141="","",SUMIFS('3_Ventas_Diarias'!$J$11:$J$610,'3_Ventas_Diarias'!$C$11:$C$610,$H141,'3_Ventas_Diarias'!$A$11:$A$610,"&gt;="&amp;'4_Dashboard_DAMABIS'!$P$5,'3_Ventas_Diarias'!$A$11:$A$610,"&lt;="&amp;'4_Dashboard_DAMABIS'!$P$6))</f>
        <v/>
      </c>
      <c r="M141" s="14">
        <f>IF($H141="","",N($K141)+ROW()/1000000)</f>
        <v/>
      </c>
    </row>
    <row r="142">
      <c r="H142" s="6">
        <f>IF('2_Control_de_Stock'!$A$149="","",'2_Control_de_Stock'!$A$149)</f>
        <v/>
      </c>
      <c r="I142" s="6">
        <f>IF('2_Control_de_Stock'!$A$149="","",'2_Control_de_Stock'!$B$149)</f>
        <v/>
      </c>
      <c r="J142" s="7">
        <f>IF($H142="","",SUMIFS('3_Ventas_Diarias'!$E$11:$E$610,'3_Ventas_Diarias'!$C$11:$C$610,$H142,'3_Ventas_Diarias'!$A$11:$A$610,"&gt;="&amp;'4_Dashboard_DAMABIS'!$P$5,'3_Ventas_Diarias'!$A$11:$A$610,"&lt;="&amp;'4_Dashboard_DAMABIS'!$P$6))</f>
        <v/>
      </c>
      <c r="K142" s="8">
        <f>IF($H142="","",SUMIFS('3_Ventas_Diarias'!$G$11:$G$610,'3_Ventas_Diarias'!$C$11:$C$610,$H142,'3_Ventas_Diarias'!$A$11:$A$610,"&gt;="&amp;'4_Dashboard_DAMABIS'!$P$5,'3_Ventas_Diarias'!$A$11:$A$610,"&lt;="&amp;'4_Dashboard_DAMABIS'!$P$6))</f>
        <v/>
      </c>
      <c r="L142" s="8">
        <f>IF($H142="","",SUMIFS('3_Ventas_Diarias'!$J$11:$J$610,'3_Ventas_Diarias'!$C$11:$C$610,$H142,'3_Ventas_Diarias'!$A$11:$A$610,"&gt;="&amp;'4_Dashboard_DAMABIS'!$P$5,'3_Ventas_Diarias'!$A$11:$A$610,"&lt;="&amp;'4_Dashboard_DAMABIS'!$P$6))</f>
        <v/>
      </c>
      <c r="M142" s="9">
        <f>IF($H142="","",N($K142)+ROW()/1000000)</f>
        <v/>
      </c>
    </row>
    <row r="143">
      <c r="H143" s="11">
        <f>IF('2_Control_de_Stock'!$A$150="","",'2_Control_de_Stock'!$A$150)</f>
        <v/>
      </c>
      <c r="I143" s="11">
        <f>IF('2_Control_de_Stock'!$A$150="","",'2_Control_de_Stock'!$B$150)</f>
        <v/>
      </c>
      <c r="J143" s="12">
        <f>IF($H143="","",SUMIFS('3_Ventas_Diarias'!$E$11:$E$610,'3_Ventas_Diarias'!$C$11:$C$610,$H143,'3_Ventas_Diarias'!$A$11:$A$610,"&gt;="&amp;'4_Dashboard_DAMABIS'!$P$5,'3_Ventas_Diarias'!$A$11:$A$610,"&lt;="&amp;'4_Dashboard_DAMABIS'!$P$6))</f>
        <v/>
      </c>
      <c r="K143" s="13">
        <f>IF($H143="","",SUMIFS('3_Ventas_Diarias'!$G$11:$G$610,'3_Ventas_Diarias'!$C$11:$C$610,$H143,'3_Ventas_Diarias'!$A$11:$A$610,"&gt;="&amp;'4_Dashboard_DAMABIS'!$P$5,'3_Ventas_Diarias'!$A$11:$A$610,"&lt;="&amp;'4_Dashboard_DAMABIS'!$P$6))</f>
        <v/>
      </c>
      <c r="L143" s="13">
        <f>IF($H143="","",SUMIFS('3_Ventas_Diarias'!$J$11:$J$610,'3_Ventas_Diarias'!$C$11:$C$610,$H143,'3_Ventas_Diarias'!$A$11:$A$610,"&gt;="&amp;'4_Dashboard_DAMABIS'!$P$5,'3_Ventas_Diarias'!$A$11:$A$610,"&lt;="&amp;'4_Dashboard_DAMABIS'!$P$6))</f>
        <v/>
      </c>
      <c r="M143" s="14">
        <f>IF($H143="","",N($K143)+ROW()/1000000)</f>
        <v/>
      </c>
    </row>
    <row r="144">
      <c r="H144" s="6">
        <f>IF('2_Control_de_Stock'!$A$151="","",'2_Control_de_Stock'!$A$151)</f>
        <v/>
      </c>
      <c r="I144" s="6">
        <f>IF('2_Control_de_Stock'!$A$151="","",'2_Control_de_Stock'!$B$151)</f>
        <v/>
      </c>
      <c r="J144" s="7">
        <f>IF($H144="","",SUMIFS('3_Ventas_Diarias'!$E$11:$E$610,'3_Ventas_Diarias'!$C$11:$C$610,$H144,'3_Ventas_Diarias'!$A$11:$A$610,"&gt;="&amp;'4_Dashboard_DAMABIS'!$P$5,'3_Ventas_Diarias'!$A$11:$A$610,"&lt;="&amp;'4_Dashboard_DAMABIS'!$P$6))</f>
        <v/>
      </c>
      <c r="K144" s="8">
        <f>IF($H144="","",SUMIFS('3_Ventas_Diarias'!$G$11:$G$610,'3_Ventas_Diarias'!$C$11:$C$610,$H144,'3_Ventas_Diarias'!$A$11:$A$610,"&gt;="&amp;'4_Dashboard_DAMABIS'!$P$5,'3_Ventas_Diarias'!$A$11:$A$610,"&lt;="&amp;'4_Dashboard_DAMABIS'!$P$6))</f>
        <v/>
      </c>
      <c r="L144" s="8">
        <f>IF($H144="","",SUMIFS('3_Ventas_Diarias'!$J$11:$J$610,'3_Ventas_Diarias'!$C$11:$C$610,$H144,'3_Ventas_Diarias'!$A$11:$A$610,"&gt;="&amp;'4_Dashboard_DAMABIS'!$P$5,'3_Ventas_Diarias'!$A$11:$A$610,"&lt;="&amp;'4_Dashboard_DAMABIS'!$P$6))</f>
        <v/>
      </c>
      <c r="M144" s="9">
        <f>IF($H144="","",N($K144)+ROW()/1000000)</f>
        <v/>
      </c>
    </row>
    <row r="145">
      <c r="H145" s="11">
        <f>IF('2_Control_de_Stock'!$A$152="","",'2_Control_de_Stock'!$A$152)</f>
        <v/>
      </c>
      <c r="I145" s="11">
        <f>IF('2_Control_de_Stock'!$A$152="","",'2_Control_de_Stock'!$B$152)</f>
        <v/>
      </c>
      <c r="J145" s="12">
        <f>IF($H145="","",SUMIFS('3_Ventas_Diarias'!$E$11:$E$610,'3_Ventas_Diarias'!$C$11:$C$610,$H145,'3_Ventas_Diarias'!$A$11:$A$610,"&gt;="&amp;'4_Dashboard_DAMABIS'!$P$5,'3_Ventas_Diarias'!$A$11:$A$610,"&lt;="&amp;'4_Dashboard_DAMABIS'!$P$6))</f>
        <v/>
      </c>
      <c r="K145" s="13">
        <f>IF($H145="","",SUMIFS('3_Ventas_Diarias'!$G$11:$G$610,'3_Ventas_Diarias'!$C$11:$C$610,$H145,'3_Ventas_Diarias'!$A$11:$A$610,"&gt;="&amp;'4_Dashboard_DAMABIS'!$P$5,'3_Ventas_Diarias'!$A$11:$A$610,"&lt;="&amp;'4_Dashboard_DAMABIS'!$P$6))</f>
        <v/>
      </c>
      <c r="L145" s="13">
        <f>IF($H145="","",SUMIFS('3_Ventas_Diarias'!$J$11:$J$610,'3_Ventas_Diarias'!$C$11:$C$610,$H145,'3_Ventas_Diarias'!$A$11:$A$610,"&gt;="&amp;'4_Dashboard_DAMABIS'!$P$5,'3_Ventas_Diarias'!$A$11:$A$610,"&lt;="&amp;'4_Dashboard_DAMABIS'!$P$6))</f>
        <v/>
      </c>
      <c r="M145" s="14">
        <f>IF($H145="","",N($K145)+ROW()/1000000)</f>
        <v/>
      </c>
    </row>
    <row r="146">
      <c r="H146" s="6">
        <f>IF('2_Control_de_Stock'!$A$153="","",'2_Control_de_Stock'!$A$153)</f>
        <v/>
      </c>
      <c r="I146" s="6">
        <f>IF('2_Control_de_Stock'!$A$153="","",'2_Control_de_Stock'!$B$153)</f>
        <v/>
      </c>
      <c r="J146" s="7">
        <f>IF($H146="","",SUMIFS('3_Ventas_Diarias'!$E$11:$E$610,'3_Ventas_Diarias'!$C$11:$C$610,$H146,'3_Ventas_Diarias'!$A$11:$A$610,"&gt;="&amp;'4_Dashboard_DAMABIS'!$P$5,'3_Ventas_Diarias'!$A$11:$A$610,"&lt;="&amp;'4_Dashboard_DAMABIS'!$P$6))</f>
        <v/>
      </c>
      <c r="K146" s="8">
        <f>IF($H146="","",SUMIFS('3_Ventas_Diarias'!$G$11:$G$610,'3_Ventas_Diarias'!$C$11:$C$610,$H146,'3_Ventas_Diarias'!$A$11:$A$610,"&gt;="&amp;'4_Dashboard_DAMABIS'!$P$5,'3_Ventas_Diarias'!$A$11:$A$610,"&lt;="&amp;'4_Dashboard_DAMABIS'!$P$6))</f>
        <v/>
      </c>
      <c r="L146" s="8">
        <f>IF($H146="","",SUMIFS('3_Ventas_Diarias'!$J$11:$J$610,'3_Ventas_Diarias'!$C$11:$C$610,$H146,'3_Ventas_Diarias'!$A$11:$A$610,"&gt;="&amp;'4_Dashboard_DAMABIS'!$P$5,'3_Ventas_Diarias'!$A$11:$A$610,"&lt;="&amp;'4_Dashboard_DAMABIS'!$P$6))</f>
        <v/>
      </c>
      <c r="M146" s="9">
        <f>IF($H146="","",N($K146)+ROW()/1000000)</f>
        <v/>
      </c>
    </row>
    <row r="147">
      <c r="H147" s="11">
        <f>IF('2_Control_de_Stock'!$A$154="","",'2_Control_de_Stock'!$A$154)</f>
        <v/>
      </c>
      <c r="I147" s="11">
        <f>IF('2_Control_de_Stock'!$A$154="","",'2_Control_de_Stock'!$B$154)</f>
        <v/>
      </c>
      <c r="J147" s="12">
        <f>IF($H147="","",SUMIFS('3_Ventas_Diarias'!$E$11:$E$610,'3_Ventas_Diarias'!$C$11:$C$610,$H147,'3_Ventas_Diarias'!$A$11:$A$610,"&gt;="&amp;'4_Dashboard_DAMABIS'!$P$5,'3_Ventas_Diarias'!$A$11:$A$610,"&lt;="&amp;'4_Dashboard_DAMABIS'!$P$6))</f>
        <v/>
      </c>
      <c r="K147" s="13">
        <f>IF($H147="","",SUMIFS('3_Ventas_Diarias'!$G$11:$G$610,'3_Ventas_Diarias'!$C$11:$C$610,$H147,'3_Ventas_Diarias'!$A$11:$A$610,"&gt;="&amp;'4_Dashboard_DAMABIS'!$P$5,'3_Ventas_Diarias'!$A$11:$A$610,"&lt;="&amp;'4_Dashboard_DAMABIS'!$P$6))</f>
        <v/>
      </c>
      <c r="L147" s="13">
        <f>IF($H147="","",SUMIFS('3_Ventas_Diarias'!$J$11:$J$610,'3_Ventas_Diarias'!$C$11:$C$610,$H147,'3_Ventas_Diarias'!$A$11:$A$610,"&gt;="&amp;'4_Dashboard_DAMABIS'!$P$5,'3_Ventas_Diarias'!$A$11:$A$610,"&lt;="&amp;'4_Dashboard_DAMABIS'!$P$6))</f>
        <v/>
      </c>
      <c r="M147" s="14">
        <f>IF($H147="","",N($K147)+ROW()/1000000)</f>
        <v/>
      </c>
    </row>
    <row r="148">
      <c r="H148" s="6">
        <f>IF('2_Control_de_Stock'!$A$155="","",'2_Control_de_Stock'!$A$155)</f>
        <v/>
      </c>
      <c r="I148" s="6">
        <f>IF('2_Control_de_Stock'!$A$155="","",'2_Control_de_Stock'!$B$155)</f>
        <v/>
      </c>
      <c r="J148" s="7">
        <f>IF($H148="","",SUMIFS('3_Ventas_Diarias'!$E$11:$E$610,'3_Ventas_Diarias'!$C$11:$C$610,$H148,'3_Ventas_Diarias'!$A$11:$A$610,"&gt;="&amp;'4_Dashboard_DAMABIS'!$P$5,'3_Ventas_Diarias'!$A$11:$A$610,"&lt;="&amp;'4_Dashboard_DAMABIS'!$P$6))</f>
        <v/>
      </c>
      <c r="K148" s="8">
        <f>IF($H148="","",SUMIFS('3_Ventas_Diarias'!$G$11:$G$610,'3_Ventas_Diarias'!$C$11:$C$610,$H148,'3_Ventas_Diarias'!$A$11:$A$610,"&gt;="&amp;'4_Dashboard_DAMABIS'!$P$5,'3_Ventas_Diarias'!$A$11:$A$610,"&lt;="&amp;'4_Dashboard_DAMABIS'!$P$6))</f>
        <v/>
      </c>
      <c r="L148" s="8">
        <f>IF($H148="","",SUMIFS('3_Ventas_Diarias'!$J$11:$J$610,'3_Ventas_Diarias'!$C$11:$C$610,$H148,'3_Ventas_Diarias'!$A$11:$A$610,"&gt;="&amp;'4_Dashboard_DAMABIS'!$P$5,'3_Ventas_Diarias'!$A$11:$A$610,"&lt;="&amp;'4_Dashboard_DAMABIS'!$P$6))</f>
        <v/>
      </c>
      <c r="M148" s="9">
        <f>IF($H148="","",N($K148)+ROW()/1000000)</f>
        <v/>
      </c>
    </row>
    <row r="149">
      <c r="H149" s="11">
        <f>IF('2_Control_de_Stock'!$A$156="","",'2_Control_de_Stock'!$A$156)</f>
        <v/>
      </c>
      <c r="I149" s="11">
        <f>IF('2_Control_de_Stock'!$A$156="","",'2_Control_de_Stock'!$B$156)</f>
        <v/>
      </c>
      <c r="J149" s="12">
        <f>IF($H149="","",SUMIFS('3_Ventas_Diarias'!$E$11:$E$610,'3_Ventas_Diarias'!$C$11:$C$610,$H149,'3_Ventas_Diarias'!$A$11:$A$610,"&gt;="&amp;'4_Dashboard_DAMABIS'!$P$5,'3_Ventas_Diarias'!$A$11:$A$610,"&lt;="&amp;'4_Dashboard_DAMABIS'!$P$6))</f>
        <v/>
      </c>
      <c r="K149" s="13">
        <f>IF($H149="","",SUMIFS('3_Ventas_Diarias'!$G$11:$G$610,'3_Ventas_Diarias'!$C$11:$C$610,$H149,'3_Ventas_Diarias'!$A$11:$A$610,"&gt;="&amp;'4_Dashboard_DAMABIS'!$P$5,'3_Ventas_Diarias'!$A$11:$A$610,"&lt;="&amp;'4_Dashboard_DAMABIS'!$P$6))</f>
        <v/>
      </c>
      <c r="L149" s="13">
        <f>IF($H149="","",SUMIFS('3_Ventas_Diarias'!$J$11:$J$610,'3_Ventas_Diarias'!$C$11:$C$610,$H149,'3_Ventas_Diarias'!$A$11:$A$610,"&gt;="&amp;'4_Dashboard_DAMABIS'!$P$5,'3_Ventas_Diarias'!$A$11:$A$610,"&lt;="&amp;'4_Dashboard_DAMABIS'!$P$6))</f>
        <v/>
      </c>
      <c r="M149" s="14">
        <f>IF($H149="","",N($K149)+ROW()/1000000)</f>
        <v/>
      </c>
    </row>
    <row r="150">
      <c r="H150" s="6">
        <f>IF('2_Control_de_Stock'!$A$157="","",'2_Control_de_Stock'!$A$157)</f>
        <v/>
      </c>
      <c r="I150" s="6">
        <f>IF('2_Control_de_Stock'!$A$157="","",'2_Control_de_Stock'!$B$157)</f>
        <v/>
      </c>
      <c r="J150" s="7">
        <f>IF($H150="","",SUMIFS('3_Ventas_Diarias'!$E$11:$E$610,'3_Ventas_Diarias'!$C$11:$C$610,$H150,'3_Ventas_Diarias'!$A$11:$A$610,"&gt;="&amp;'4_Dashboard_DAMABIS'!$P$5,'3_Ventas_Diarias'!$A$11:$A$610,"&lt;="&amp;'4_Dashboard_DAMABIS'!$P$6))</f>
        <v/>
      </c>
      <c r="K150" s="8">
        <f>IF($H150="","",SUMIFS('3_Ventas_Diarias'!$G$11:$G$610,'3_Ventas_Diarias'!$C$11:$C$610,$H150,'3_Ventas_Diarias'!$A$11:$A$610,"&gt;="&amp;'4_Dashboard_DAMABIS'!$P$5,'3_Ventas_Diarias'!$A$11:$A$610,"&lt;="&amp;'4_Dashboard_DAMABIS'!$P$6))</f>
        <v/>
      </c>
      <c r="L150" s="8">
        <f>IF($H150="","",SUMIFS('3_Ventas_Diarias'!$J$11:$J$610,'3_Ventas_Diarias'!$C$11:$C$610,$H150,'3_Ventas_Diarias'!$A$11:$A$610,"&gt;="&amp;'4_Dashboard_DAMABIS'!$P$5,'3_Ventas_Diarias'!$A$11:$A$610,"&lt;="&amp;'4_Dashboard_DAMABIS'!$P$6))</f>
        <v/>
      </c>
      <c r="M150" s="9">
        <f>IF($H150="","",N($K150)+ROW()/1000000)</f>
        <v/>
      </c>
    </row>
    <row r="151">
      <c r="H151" s="11">
        <f>IF('2_Control_de_Stock'!$A$158="","",'2_Control_de_Stock'!$A$158)</f>
        <v/>
      </c>
      <c r="I151" s="11">
        <f>IF('2_Control_de_Stock'!$A$158="","",'2_Control_de_Stock'!$B$158)</f>
        <v/>
      </c>
      <c r="J151" s="12">
        <f>IF($H151="","",SUMIFS('3_Ventas_Diarias'!$E$11:$E$610,'3_Ventas_Diarias'!$C$11:$C$610,$H151,'3_Ventas_Diarias'!$A$11:$A$610,"&gt;="&amp;'4_Dashboard_DAMABIS'!$P$5,'3_Ventas_Diarias'!$A$11:$A$610,"&lt;="&amp;'4_Dashboard_DAMABIS'!$P$6))</f>
        <v/>
      </c>
      <c r="K151" s="13">
        <f>IF($H151="","",SUMIFS('3_Ventas_Diarias'!$G$11:$G$610,'3_Ventas_Diarias'!$C$11:$C$610,$H151,'3_Ventas_Diarias'!$A$11:$A$610,"&gt;="&amp;'4_Dashboard_DAMABIS'!$P$5,'3_Ventas_Diarias'!$A$11:$A$610,"&lt;="&amp;'4_Dashboard_DAMABIS'!$P$6))</f>
        <v/>
      </c>
      <c r="L151" s="13">
        <f>IF($H151="","",SUMIFS('3_Ventas_Diarias'!$J$11:$J$610,'3_Ventas_Diarias'!$C$11:$C$610,$H151,'3_Ventas_Diarias'!$A$11:$A$610,"&gt;="&amp;'4_Dashboard_DAMABIS'!$P$5,'3_Ventas_Diarias'!$A$11:$A$610,"&lt;="&amp;'4_Dashboard_DAMABIS'!$P$6))</f>
        <v/>
      </c>
      <c r="M151" s="14">
        <f>IF($H151="","",N($K151)+ROW()/1000000)</f>
        <v/>
      </c>
    </row>
    <row r="152">
      <c r="H152" s="6">
        <f>IF('2_Control_de_Stock'!$A$159="","",'2_Control_de_Stock'!$A$159)</f>
        <v/>
      </c>
      <c r="I152" s="6">
        <f>IF('2_Control_de_Stock'!$A$159="","",'2_Control_de_Stock'!$B$159)</f>
        <v/>
      </c>
      <c r="J152" s="7">
        <f>IF($H152="","",SUMIFS('3_Ventas_Diarias'!$E$11:$E$610,'3_Ventas_Diarias'!$C$11:$C$610,$H152,'3_Ventas_Diarias'!$A$11:$A$610,"&gt;="&amp;'4_Dashboard_DAMABIS'!$P$5,'3_Ventas_Diarias'!$A$11:$A$610,"&lt;="&amp;'4_Dashboard_DAMABIS'!$P$6))</f>
        <v/>
      </c>
      <c r="K152" s="8">
        <f>IF($H152="","",SUMIFS('3_Ventas_Diarias'!$G$11:$G$610,'3_Ventas_Diarias'!$C$11:$C$610,$H152,'3_Ventas_Diarias'!$A$11:$A$610,"&gt;="&amp;'4_Dashboard_DAMABIS'!$P$5,'3_Ventas_Diarias'!$A$11:$A$610,"&lt;="&amp;'4_Dashboard_DAMABIS'!$P$6))</f>
        <v/>
      </c>
      <c r="L152" s="8">
        <f>IF($H152="","",SUMIFS('3_Ventas_Diarias'!$J$11:$J$610,'3_Ventas_Diarias'!$C$11:$C$610,$H152,'3_Ventas_Diarias'!$A$11:$A$610,"&gt;="&amp;'4_Dashboard_DAMABIS'!$P$5,'3_Ventas_Diarias'!$A$11:$A$610,"&lt;="&amp;'4_Dashboard_DAMABIS'!$P$6))</f>
        <v/>
      </c>
      <c r="M152" s="9">
        <f>IF($H152="","",N($K152)+ROW()/1000000)</f>
        <v/>
      </c>
    </row>
    <row r="153">
      <c r="H153" s="11">
        <f>IF('2_Control_de_Stock'!$A$160="","",'2_Control_de_Stock'!$A$160)</f>
        <v/>
      </c>
      <c r="I153" s="11">
        <f>IF('2_Control_de_Stock'!$A$160="","",'2_Control_de_Stock'!$B$160)</f>
        <v/>
      </c>
      <c r="J153" s="12">
        <f>IF($H153="","",SUMIFS('3_Ventas_Diarias'!$E$11:$E$610,'3_Ventas_Diarias'!$C$11:$C$610,$H153,'3_Ventas_Diarias'!$A$11:$A$610,"&gt;="&amp;'4_Dashboard_DAMABIS'!$P$5,'3_Ventas_Diarias'!$A$11:$A$610,"&lt;="&amp;'4_Dashboard_DAMABIS'!$P$6))</f>
        <v/>
      </c>
      <c r="K153" s="13">
        <f>IF($H153="","",SUMIFS('3_Ventas_Diarias'!$G$11:$G$610,'3_Ventas_Diarias'!$C$11:$C$610,$H153,'3_Ventas_Diarias'!$A$11:$A$610,"&gt;="&amp;'4_Dashboard_DAMABIS'!$P$5,'3_Ventas_Diarias'!$A$11:$A$610,"&lt;="&amp;'4_Dashboard_DAMABIS'!$P$6))</f>
        <v/>
      </c>
      <c r="L153" s="13">
        <f>IF($H153="","",SUMIFS('3_Ventas_Diarias'!$J$11:$J$610,'3_Ventas_Diarias'!$C$11:$C$610,$H153,'3_Ventas_Diarias'!$A$11:$A$610,"&gt;="&amp;'4_Dashboard_DAMABIS'!$P$5,'3_Ventas_Diarias'!$A$11:$A$610,"&lt;="&amp;'4_Dashboard_DAMABIS'!$P$6))</f>
        <v/>
      </c>
      <c r="M153" s="14">
        <f>IF($H153="","",N($K153)+ROW()/1000000)</f>
        <v/>
      </c>
    </row>
    <row r="154">
      <c r="H154" s="6">
        <f>IF('2_Control_de_Stock'!$A$161="","",'2_Control_de_Stock'!$A$161)</f>
        <v/>
      </c>
      <c r="I154" s="6">
        <f>IF('2_Control_de_Stock'!$A$161="","",'2_Control_de_Stock'!$B$161)</f>
        <v/>
      </c>
      <c r="J154" s="7">
        <f>IF($H154="","",SUMIFS('3_Ventas_Diarias'!$E$11:$E$610,'3_Ventas_Diarias'!$C$11:$C$610,$H154,'3_Ventas_Diarias'!$A$11:$A$610,"&gt;="&amp;'4_Dashboard_DAMABIS'!$P$5,'3_Ventas_Diarias'!$A$11:$A$610,"&lt;="&amp;'4_Dashboard_DAMABIS'!$P$6))</f>
        <v/>
      </c>
      <c r="K154" s="8">
        <f>IF($H154="","",SUMIFS('3_Ventas_Diarias'!$G$11:$G$610,'3_Ventas_Diarias'!$C$11:$C$610,$H154,'3_Ventas_Diarias'!$A$11:$A$610,"&gt;="&amp;'4_Dashboard_DAMABIS'!$P$5,'3_Ventas_Diarias'!$A$11:$A$610,"&lt;="&amp;'4_Dashboard_DAMABIS'!$P$6))</f>
        <v/>
      </c>
      <c r="L154" s="8">
        <f>IF($H154="","",SUMIFS('3_Ventas_Diarias'!$J$11:$J$610,'3_Ventas_Diarias'!$C$11:$C$610,$H154,'3_Ventas_Diarias'!$A$11:$A$610,"&gt;="&amp;'4_Dashboard_DAMABIS'!$P$5,'3_Ventas_Diarias'!$A$11:$A$610,"&lt;="&amp;'4_Dashboard_DAMABIS'!$P$6))</f>
        <v/>
      </c>
      <c r="M154" s="9">
        <f>IF($H154="","",N($K154)+ROW()/1000000)</f>
        <v/>
      </c>
    </row>
    <row r="155">
      <c r="H155" s="11">
        <f>IF('2_Control_de_Stock'!$A$162="","",'2_Control_de_Stock'!$A$162)</f>
        <v/>
      </c>
      <c r="I155" s="11">
        <f>IF('2_Control_de_Stock'!$A$162="","",'2_Control_de_Stock'!$B$162)</f>
        <v/>
      </c>
      <c r="J155" s="12">
        <f>IF($H155="","",SUMIFS('3_Ventas_Diarias'!$E$11:$E$610,'3_Ventas_Diarias'!$C$11:$C$610,$H155,'3_Ventas_Diarias'!$A$11:$A$610,"&gt;="&amp;'4_Dashboard_DAMABIS'!$P$5,'3_Ventas_Diarias'!$A$11:$A$610,"&lt;="&amp;'4_Dashboard_DAMABIS'!$P$6))</f>
        <v/>
      </c>
      <c r="K155" s="13">
        <f>IF($H155="","",SUMIFS('3_Ventas_Diarias'!$G$11:$G$610,'3_Ventas_Diarias'!$C$11:$C$610,$H155,'3_Ventas_Diarias'!$A$11:$A$610,"&gt;="&amp;'4_Dashboard_DAMABIS'!$P$5,'3_Ventas_Diarias'!$A$11:$A$610,"&lt;="&amp;'4_Dashboard_DAMABIS'!$P$6))</f>
        <v/>
      </c>
      <c r="L155" s="13">
        <f>IF($H155="","",SUMIFS('3_Ventas_Diarias'!$J$11:$J$610,'3_Ventas_Diarias'!$C$11:$C$610,$H155,'3_Ventas_Diarias'!$A$11:$A$610,"&gt;="&amp;'4_Dashboard_DAMABIS'!$P$5,'3_Ventas_Diarias'!$A$11:$A$610,"&lt;="&amp;'4_Dashboard_DAMABIS'!$P$6))</f>
        <v/>
      </c>
      <c r="M155" s="14">
        <f>IF($H155="","",N($K155)+ROW()/1000000)</f>
        <v/>
      </c>
    </row>
    <row r="156">
      <c r="H156" s="6">
        <f>IF('2_Control_de_Stock'!$A$163="","",'2_Control_de_Stock'!$A$163)</f>
        <v/>
      </c>
      <c r="I156" s="6">
        <f>IF('2_Control_de_Stock'!$A$163="","",'2_Control_de_Stock'!$B$163)</f>
        <v/>
      </c>
      <c r="J156" s="7">
        <f>IF($H156="","",SUMIFS('3_Ventas_Diarias'!$E$11:$E$610,'3_Ventas_Diarias'!$C$11:$C$610,$H156,'3_Ventas_Diarias'!$A$11:$A$610,"&gt;="&amp;'4_Dashboard_DAMABIS'!$P$5,'3_Ventas_Diarias'!$A$11:$A$610,"&lt;="&amp;'4_Dashboard_DAMABIS'!$P$6))</f>
        <v/>
      </c>
      <c r="K156" s="8">
        <f>IF($H156="","",SUMIFS('3_Ventas_Diarias'!$G$11:$G$610,'3_Ventas_Diarias'!$C$11:$C$610,$H156,'3_Ventas_Diarias'!$A$11:$A$610,"&gt;="&amp;'4_Dashboard_DAMABIS'!$P$5,'3_Ventas_Diarias'!$A$11:$A$610,"&lt;="&amp;'4_Dashboard_DAMABIS'!$P$6))</f>
        <v/>
      </c>
      <c r="L156" s="8">
        <f>IF($H156="","",SUMIFS('3_Ventas_Diarias'!$J$11:$J$610,'3_Ventas_Diarias'!$C$11:$C$610,$H156,'3_Ventas_Diarias'!$A$11:$A$610,"&gt;="&amp;'4_Dashboard_DAMABIS'!$P$5,'3_Ventas_Diarias'!$A$11:$A$610,"&lt;="&amp;'4_Dashboard_DAMABIS'!$P$6))</f>
        <v/>
      </c>
      <c r="M156" s="9">
        <f>IF($H156="","",N($K156)+ROW()/1000000)</f>
        <v/>
      </c>
    </row>
    <row r="157">
      <c r="H157" s="11">
        <f>IF('2_Control_de_Stock'!$A$164="","",'2_Control_de_Stock'!$A$164)</f>
        <v/>
      </c>
      <c r="I157" s="11">
        <f>IF('2_Control_de_Stock'!$A$164="","",'2_Control_de_Stock'!$B$164)</f>
        <v/>
      </c>
      <c r="J157" s="12">
        <f>IF($H157="","",SUMIFS('3_Ventas_Diarias'!$E$11:$E$610,'3_Ventas_Diarias'!$C$11:$C$610,$H157,'3_Ventas_Diarias'!$A$11:$A$610,"&gt;="&amp;'4_Dashboard_DAMABIS'!$P$5,'3_Ventas_Diarias'!$A$11:$A$610,"&lt;="&amp;'4_Dashboard_DAMABIS'!$P$6))</f>
        <v/>
      </c>
      <c r="K157" s="13">
        <f>IF($H157="","",SUMIFS('3_Ventas_Diarias'!$G$11:$G$610,'3_Ventas_Diarias'!$C$11:$C$610,$H157,'3_Ventas_Diarias'!$A$11:$A$610,"&gt;="&amp;'4_Dashboard_DAMABIS'!$P$5,'3_Ventas_Diarias'!$A$11:$A$610,"&lt;="&amp;'4_Dashboard_DAMABIS'!$P$6))</f>
        <v/>
      </c>
      <c r="L157" s="13">
        <f>IF($H157="","",SUMIFS('3_Ventas_Diarias'!$J$11:$J$610,'3_Ventas_Diarias'!$C$11:$C$610,$H157,'3_Ventas_Diarias'!$A$11:$A$610,"&gt;="&amp;'4_Dashboard_DAMABIS'!$P$5,'3_Ventas_Diarias'!$A$11:$A$610,"&lt;="&amp;'4_Dashboard_DAMABIS'!$P$6))</f>
        <v/>
      </c>
      <c r="M157" s="14">
        <f>IF($H157="","",N($K157)+ROW()/1000000)</f>
        <v/>
      </c>
    </row>
    <row r="158">
      <c r="H158" s="6">
        <f>IF('2_Control_de_Stock'!$A$165="","",'2_Control_de_Stock'!$A$165)</f>
        <v/>
      </c>
      <c r="I158" s="6">
        <f>IF('2_Control_de_Stock'!$A$165="","",'2_Control_de_Stock'!$B$165)</f>
        <v/>
      </c>
      <c r="J158" s="7">
        <f>IF($H158="","",SUMIFS('3_Ventas_Diarias'!$E$11:$E$610,'3_Ventas_Diarias'!$C$11:$C$610,$H158,'3_Ventas_Diarias'!$A$11:$A$610,"&gt;="&amp;'4_Dashboard_DAMABIS'!$P$5,'3_Ventas_Diarias'!$A$11:$A$610,"&lt;="&amp;'4_Dashboard_DAMABIS'!$P$6))</f>
        <v/>
      </c>
      <c r="K158" s="8">
        <f>IF($H158="","",SUMIFS('3_Ventas_Diarias'!$G$11:$G$610,'3_Ventas_Diarias'!$C$11:$C$610,$H158,'3_Ventas_Diarias'!$A$11:$A$610,"&gt;="&amp;'4_Dashboard_DAMABIS'!$P$5,'3_Ventas_Diarias'!$A$11:$A$610,"&lt;="&amp;'4_Dashboard_DAMABIS'!$P$6))</f>
        <v/>
      </c>
      <c r="L158" s="8">
        <f>IF($H158="","",SUMIFS('3_Ventas_Diarias'!$J$11:$J$610,'3_Ventas_Diarias'!$C$11:$C$610,$H158,'3_Ventas_Diarias'!$A$11:$A$610,"&gt;="&amp;'4_Dashboard_DAMABIS'!$P$5,'3_Ventas_Diarias'!$A$11:$A$610,"&lt;="&amp;'4_Dashboard_DAMABIS'!$P$6))</f>
        <v/>
      </c>
      <c r="M158" s="9">
        <f>IF($H158="","",N($K158)+ROW()/1000000)</f>
        <v/>
      </c>
    </row>
    <row r="159">
      <c r="H159" s="11">
        <f>IF('2_Control_de_Stock'!$A$166="","",'2_Control_de_Stock'!$A$166)</f>
        <v/>
      </c>
      <c r="I159" s="11">
        <f>IF('2_Control_de_Stock'!$A$166="","",'2_Control_de_Stock'!$B$166)</f>
        <v/>
      </c>
      <c r="J159" s="12">
        <f>IF($H159="","",SUMIFS('3_Ventas_Diarias'!$E$11:$E$610,'3_Ventas_Diarias'!$C$11:$C$610,$H159,'3_Ventas_Diarias'!$A$11:$A$610,"&gt;="&amp;'4_Dashboard_DAMABIS'!$P$5,'3_Ventas_Diarias'!$A$11:$A$610,"&lt;="&amp;'4_Dashboard_DAMABIS'!$P$6))</f>
        <v/>
      </c>
      <c r="K159" s="13">
        <f>IF($H159="","",SUMIFS('3_Ventas_Diarias'!$G$11:$G$610,'3_Ventas_Diarias'!$C$11:$C$610,$H159,'3_Ventas_Diarias'!$A$11:$A$610,"&gt;="&amp;'4_Dashboard_DAMABIS'!$P$5,'3_Ventas_Diarias'!$A$11:$A$610,"&lt;="&amp;'4_Dashboard_DAMABIS'!$P$6))</f>
        <v/>
      </c>
      <c r="L159" s="13">
        <f>IF($H159="","",SUMIFS('3_Ventas_Diarias'!$J$11:$J$610,'3_Ventas_Diarias'!$C$11:$C$610,$H159,'3_Ventas_Diarias'!$A$11:$A$610,"&gt;="&amp;'4_Dashboard_DAMABIS'!$P$5,'3_Ventas_Diarias'!$A$11:$A$610,"&lt;="&amp;'4_Dashboard_DAMABIS'!$P$6))</f>
        <v/>
      </c>
      <c r="M159" s="14">
        <f>IF($H159="","",N($K159)+ROW()/1000000)</f>
        <v/>
      </c>
    </row>
    <row r="160">
      <c r="H160" s="6">
        <f>IF('2_Control_de_Stock'!$A$167="","",'2_Control_de_Stock'!$A$167)</f>
        <v/>
      </c>
      <c r="I160" s="6">
        <f>IF('2_Control_de_Stock'!$A$167="","",'2_Control_de_Stock'!$B$167)</f>
        <v/>
      </c>
      <c r="J160" s="7">
        <f>IF($H160="","",SUMIFS('3_Ventas_Diarias'!$E$11:$E$610,'3_Ventas_Diarias'!$C$11:$C$610,$H160,'3_Ventas_Diarias'!$A$11:$A$610,"&gt;="&amp;'4_Dashboard_DAMABIS'!$P$5,'3_Ventas_Diarias'!$A$11:$A$610,"&lt;="&amp;'4_Dashboard_DAMABIS'!$P$6))</f>
        <v/>
      </c>
      <c r="K160" s="8">
        <f>IF($H160="","",SUMIFS('3_Ventas_Diarias'!$G$11:$G$610,'3_Ventas_Diarias'!$C$11:$C$610,$H160,'3_Ventas_Diarias'!$A$11:$A$610,"&gt;="&amp;'4_Dashboard_DAMABIS'!$P$5,'3_Ventas_Diarias'!$A$11:$A$610,"&lt;="&amp;'4_Dashboard_DAMABIS'!$P$6))</f>
        <v/>
      </c>
      <c r="L160" s="8">
        <f>IF($H160="","",SUMIFS('3_Ventas_Diarias'!$J$11:$J$610,'3_Ventas_Diarias'!$C$11:$C$610,$H160,'3_Ventas_Diarias'!$A$11:$A$610,"&gt;="&amp;'4_Dashboard_DAMABIS'!$P$5,'3_Ventas_Diarias'!$A$11:$A$610,"&lt;="&amp;'4_Dashboard_DAMABIS'!$P$6))</f>
        <v/>
      </c>
      <c r="M160" s="9">
        <f>IF($H160="","",N($K160)+ROW()/1000000)</f>
        <v/>
      </c>
    </row>
    <row r="161">
      <c r="H161" s="11">
        <f>IF('2_Control_de_Stock'!$A$168="","",'2_Control_de_Stock'!$A$168)</f>
        <v/>
      </c>
      <c r="I161" s="11">
        <f>IF('2_Control_de_Stock'!$A$168="","",'2_Control_de_Stock'!$B$168)</f>
        <v/>
      </c>
      <c r="J161" s="12">
        <f>IF($H161="","",SUMIFS('3_Ventas_Diarias'!$E$11:$E$610,'3_Ventas_Diarias'!$C$11:$C$610,$H161,'3_Ventas_Diarias'!$A$11:$A$610,"&gt;="&amp;'4_Dashboard_DAMABIS'!$P$5,'3_Ventas_Diarias'!$A$11:$A$610,"&lt;="&amp;'4_Dashboard_DAMABIS'!$P$6))</f>
        <v/>
      </c>
      <c r="K161" s="13">
        <f>IF($H161="","",SUMIFS('3_Ventas_Diarias'!$G$11:$G$610,'3_Ventas_Diarias'!$C$11:$C$610,$H161,'3_Ventas_Diarias'!$A$11:$A$610,"&gt;="&amp;'4_Dashboard_DAMABIS'!$P$5,'3_Ventas_Diarias'!$A$11:$A$610,"&lt;="&amp;'4_Dashboard_DAMABIS'!$P$6))</f>
        <v/>
      </c>
      <c r="L161" s="13">
        <f>IF($H161="","",SUMIFS('3_Ventas_Diarias'!$J$11:$J$610,'3_Ventas_Diarias'!$C$11:$C$610,$H161,'3_Ventas_Diarias'!$A$11:$A$610,"&gt;="&amp;'4_Dashboard_DAMABIS'!$P$5,'3_Ventas_Diarias'!$A$11:$A$610,"&lt;="&amp;'4_Dashboard_DAMABIS'!$P$6))</f>
        <v/>
      </c>
      <c r="M161" s="14">
        <f>IF($H161="","",N($K161)+ROW()/1000000)</f>
        <v/>
      </c>
    </row>
    <row r="162">
      <c r="H162" s="6">
        <f>IF('2_Control_de_Stock'!$A$169="","",'2_Control_de_Stock'!$A$169)</f>
        <v/>
      </c>
      <c r="I162" s="6">
        <f>IF('2_Control_de_Stock'!$A$169="","",'2_Control_de_Stock'!$B$169)</f>
        <v/>
      </c>
      <c r="J162" s="7">
        <f>IF($H162="","",SUMIFS('3_Ventas_Diarias'!$E$11:$E$610,'3_Ventas_Diarias'!$C$11:$C$610,$H162,'3_Ventas_Diarias'!$A$11:$A$610,"&gt;="&amp;'4_Dashboard_DAMABIS'!$P$5,'3_Ventas_Diarias'!$A$11:$A$610,"&lt;="&amp;'4_Dashboard_DAMABIS'!$P$6))</f>
        <v/>
      </c>
      <c r="K162" s="8">
        <f>IF($H162="","",SUMIFS('3_Ventas_Diarias'!$G$11:$G$610,'3_Ventas_Diarias'!$C$11:$C$610,$H162,'3_Ventas_Diarias'!$A$11:$A$610,"&gt;="&amp;'4_Dashboard_DAMABIS'!$P$5,'3_Ventas_Diarias'!$A$11:$A$610,"&lt;="&amp;'4_Dashboard_DAMABIS'!$P$6))</f>
        <v/>
      </c>
      <c r="L162" s="8">
        <f>IF($H162="","",SUMIFS('3_Ventas_Diarias'!$J$11:$J$610,'3_Ventas_Diarias'!$C$11:$C$610,$H162,'3_Ventas_Diarias'!$A$11:$A$610,"&gt;="&amp;'4_Dashboard_DAMABIS'!$P$5,'3_Ventas_Diarias'!$A$11:$A$610,"&lt;="&amp;'4_Dashboard_DAMABIS'!$P$6))</f>
        <v/>
      </c>
      <c r="M162" s="9">
        <f>IF($H162="","",N($K162)+ROW()/1000000)</f>
        <v/>
      </c>
    </row>
    <row r="163">
      <c r="H163" s="11">
        <f>IF('2_Control_de_Stock'!$A$170="","",'2_Control_de_Stock'!$A$170)</f>
        <v/>
      </c>
      <c r="I163" s="11">
        <f>IF('2_Control_de_Stock'!$A$170="","",'2_Control_de_Stock'!$B$170)</f>
        <v/>
      </c>
      <c r="J163" s="12">
        <f>IF($H163="","",SUMIFS('3_Ventas_Diarias'!$E$11:$E$610,'3_Ventas_Diarias'!$C$11:$C$610,$H163,'3_Ventas_Diarias'!$A$11:$A$610,"&gt;="&amp;'4_Dashboard_DAMABIS'!$P$5,'3_Ventas_Diarias'!$A$11:$A$610,"&lt;="&amp;'4_Dashboard_DAMABIS'!$P$6))</f>
        <v/>
      </c>
      <c r="K163" s="13">
        <f>IF($H163="","",SUMIFS('3_Ventas_Diarias'!$G$11:$G$610,'3_Ventas_Diarias'!$C$11:$C$610,$H163,'3_Ventas_Diarias'!$A$11:$A$610,"&gt;="&amp;'4_Dashboard_DAMABIS'!$P$5,'3_Ventas_Diarias'!$A$11:$A$610,"&lt;="&amp;'4_Dashboard_DAMABIS'!$P$6))</f>
        <v/>
      </c>
      <c r="L163" s="13">
        <f>IF($H163="","",SUMIFS('3_Ventas_Diarias'!$J$11:$J$610,'3_Ventas_Diarias'!$C$11:$C$610,$H163,'3_Ventas_Diarias'!$A$11:$A$610,"&gt;="&amp;'4_Dashboard_DAMABIS'!$P$5,'3_Ventas_Diarias'!$A$11:$A$610,"&lt;="&amp;'4_Dashboard_DAMABIS'!$P$6))</f>
        <v/>
      </c>
      <c r="M163" s="14">
        <f>IF($H163="","",N($K163)+ROW()/1000000)</f>
        <v/>
      </c>
    </row>
    <row r="164">
      <c r="H164" s="6">
        <f>IF('2_Control_de_Stock'!$A$171="","",'2_Control_de_Stock'!$A$171)</f>
        <v/>
      </c>
      <c r="I164" s="6">
        <f>IF('2_Control_de_Stock'!$A$171="","",'2_Control_de_Stock'!$B$171)</f>
        <v/>
      </c>
      <c r="J164" s="7">
        <f>IF($H164="","",SUMIFS('3_Ventas_Diarias'!$E$11:$E$610,'3_Ventas_Diarias'!$C$11:$C$610,$H164,'3_Ventas_Diarias'!$A$11:$A$610,"&gt;="&amp;'4_Dashboard_DAMABIS'!$P$5,'3_Ventas_Diarias'!$A$11:$A$610,"&lt;="&amp;'4_Dashboard_DAMABIS'!$P$6))</f>
        <v/>
      </c>
      <c r="K164" s="8">
        <f>IF($H164="","",SUMIFS('3_Ventas_Diarias'!$G$11:$G$610,'3_Ventas_Diarias'!$C$11:$C$610,$H164,'3_Ventas_Diarias'!$A$11:$A$610,"&gt;="&amp;'4_Dashboard_DAMABIS'!$P$5,'3_Ventas_Diarias'!$A$11:$A$610,"&lt;="&amp;'4_Dashboard_DAMABIS'!$P$6))</f>
        <v/>
      </c>
      <c r="L164" s="8">
        <f>IF($H164="","",SUMIFS('3_Ventas_Diarias'!$J$11:$J$610,'3_Ventas_Diarias'!$C$11:$C$610,$H164,'3_Ventas_Diarias'!$A$11:$A$610,"&gt;="&amp;'4_Dashboard_DAMABIS'!$P$5,'3_Ventas_Diarias'!$A$11:$A$610,"&lt;="&amp;'4_Dashboard_DAMABIS'!$P$6))</f>
        <v/>
      </c>
      <c r="M164" s="9">
        <f>IF($H164="","",N($K164)+ROW()/1000000)</f>
        <v/>
      </c>
    </row>
    <row r="165">
      <c r="H165" s="11">
        <f>IF('2_Control_de_Stock'!$A$172="","",'2_Control_de_Stock'!$A$172)</f>
        <v/>
      </c>
      <c r="I165" s="11">
        <f>IF('2_Control_de_Stock'!$A$172="","",'2_Control_de_Stock'!$B$172)</f>
        <v/>
      </c>
      <c r="J165" s="12">
        <f>IF($H165="","",SUMIFS('3_Ventas_Diarias'!$E$11:$E$610,'3_Ventas_Diarias'!$C$11:$C$610,$H165,'3_Ventas_Diarias'!$A$11:$A$610,"&gt;="&amp;'4_Dashboard_DAMABIS'!$P$5,'3_Ventas_Diarias'!$A$11:$A$610,"&lt;="&amp;'4_Dashboard_DAMABIS'!$P$6))</f>
        <v/>
      </c>
      <c r="K165" s="13">
        <f>IF($H165="","",SUMIFS('3_Ventas_Diarias'!$G$11:$G$610,'3_Ventas_Diarias'!$C$11:$C$610,$H165,'3_Ventas_Diarias'!$A$11:$A$610,"&gt;="&amp;'4_Dashboard_DAMABIS'!$P$5,'3_Ventas_Diarias'!$A$11:$A$610,"&lt;="&amp;'4_Dashboard_DAMABIS'!$P$6))</f>
        <v/>
      </c>
      <c r="L165" s="13">
        <f>IF($H165="","",SUMIFS('3_Ventas_Diarias'!$J$11:$J$610,'3_Ventas_Diarias'!$C$11:$C$610,$H165,'3_Ventas_Diarias'!$A$11:$A$610,"&gt;="&amp;'4_Dashboard_DAMABIS'!$P$5,'3_Ventas_Diarias'!$A$11:$A$610,"&lt;="&amp;'4_Dashboard_DAMABIS'!$P$6))</f>
        <v/>
      </c>
      <c r="M165" s="14">
        <f>IF($H165="","",N($K165)+ROW()/1000000)</f>
        <v/>
      </c>
    </row>
    <row r="166">
      <c r="H166" s="6">
        <f>IF('2_Control_de_Stock'!$A$173="","",'2_Control_de_Stock'!$A$173)</f>
        <v/>
      </c>
      <c r="I166" s="6">
        <f>IF('2_Control_de_Stock'!$A$173="","",'2_Control_de_Stock'!$B$173)</f>
        <v/>
      </c>
      <c r="J166" s="7">
        <f>IF($H166="","",SUMIFS('3_Ventas_Diarias'!$E$11:$E$610,'3_Ventas_Diarias'!$C$11:$C$610,$H166,'3_Ventas_Diarias'!$A$11:$A$610,"&gt;="&amp;'4_Dashboard_DAMABIS'!$P$5,'3_Ventas_Diarias'!$A$11:$A$610,"&lt;="&amp;'4_Dashboard_DAMABIS'!$P$6))</f>
        <v/>
      </c>
      <c r="K166" s="8">
        <f>IF($H166="","",SUMIFS('3_Ventas_Diarias'!$G$11:$G$610,'3_Ventas_Diarias'!$C$11:$C$610,$H166,'3_Ventas_Diarias'!$A$11:$A$610,"&gt;="&amp;'4_Dashboard_DAMABIS'!$P$5,'3_Ventas_Diarias'!$A$11:$A$610,"&lt;="&amp;'4_Dashboard_DAMABIS'!$P$6))</f>
        <v/>
      </c>
      <c r="L166" s="8">
        <f>IF($H166="","",SUMIFS('3_Ventas_Diarias'!$J$11:$J$610,'3_Ventas_Diarias'!$C$11:$C$610,$H166,'3_Ventas_Diarias'!$A$11:$A$610,"&gt;="&amp;'4_Dashboard_DAMABIS'!$P$5,'3_Ventas_Diarias'!$A$11:$A$610,"&lt;="&amp;'4_Dashboard_DAMABIS'!$P$6))</f>
        <v/>
      </c>
      <c r="M166" s="9">
        <f>IF($H166="","",N($K166)+ROW()/1000000)</f>
        <v/>
      </c>
    </row>
    <row r="167">
      <c r="H167" s="11">
        <f>IF('2_Control_de_Stock'!$A$174="","",'2_Control_de_Stock'!$A$174)</f>
        <v/>
      </c>
      <c r="I167" s="11">
        <f>IF('2_Control_de_Stock'!$A$174="","",'2_Control_de_Stock'!$B$174)</f>
        <v/>
      </c>
      <c r="J167" s="12">
        <f>IF($H167="","",SUMIFS('3_Ventas_Diarias'!$E$11:$E$610,'3_Ventas_Diarias'!$C$11:$C$610,$H167,'3_Ventas_Diarias'!$A$11:$A$610,"&gt;="&amp;'4_Dashboard_DAMABIS'!$P$5,'3_Ventas_Diarias'!$A$11:$A$610,"&lt;="&amp;'4_Dashboard_DAMABIS'!$P$6))</f>
        <v/>
      </c>
      <c r="K167" s="13">
        <f>IF($H167="","",SUMIFS('3_Ventas_Diarias'!$G$11:$G$610,'3_Ventas_Diarias'!$C$11:$C$610,$H167,'3_Ventas_Diarias'!$A$11:$A$610,"&gt;="&amp;'4_Dashboard_DAMABIS'!$P$5,'3_Ventas_Diarias'!$A$11:$A$610,"&lt;="&amp;'4_Dashboard_DAMABIS'!$P$6))</f>
        <v/>
      </c>
      <c r="L167" s="13">
        <f>IF($H167="","",SUMIFS('3_Ventas_Diarias'!$J$11:$J$610,'3_Ventas_Diarias'!$C$11:$C$610,$H167,'3_Ventas_Diarias'!$A$11:$A$610,"&gt;="&amp;'4_Dashboard_DAMABIS'!$P$5,'3_Ventas_Diarias'!$A$11:$A$610,"&lt;="&amp;'4_Dashboard_DAMABIS'!$P$6))</f>
        <v/>
      </c>
      <c r="M167" s="14">
        <f>IF($H167="","",N($K167)+ROW()/1000000)</f>
        <v/>
      </c>
    </row>
    <row r="168">
      <c r="H168" s="6">
        <f>IF('2_Control_de_Stock'!$A$175="","",'2_Control_de_Stock'!$A$175)</f>
        <v/>
      </c>
      <c r="I168" s="6">
        <f>IF('2_Control_de_Stock'!$A$175="","",'2_Control_de_Stock'!$B$175)</f>
        <v/>
      </c>
      <c r="J168" s="7">
        <f>IF($H168="","",SUMIFS('3_Ventas_Diarias'!$E$11:$E$610,'3_Ventas_Diarias'!$C$11:$C$610,$H168,'3_Ventas_Diarias'!$A$11:$A$610,"&gt;="&amp;'4_Dashboard_DAMABIS'!$P$5,'3_Ventas_Diarias'!$A$11:$A$610,"&lt;="&amp;'4_Dashboard_DAMABIS'!$P$6))</f>
        <v/>
      </c>
      <c r="K168" s="8">
        <f>IF($H168="","",SUMIFS('3_Ventas_Diarias'!$G$11:$G$610,'3_Ventas_Diarias'!$C$11:$C$610,$H168,'3_Ventas_Diarias'!$A$11:$A$610,"&gt;="&amp;'4_Dashboard_DAMABIS'!$P$5,'3_Ventas_Diarias'!$A$11:$A$610,"&lt;="&amp;'4_Dashboard_DAMABIS'!$P$6))</f>
        <v/>
      </c>
      <c r="L168" s="8">
        <f>IF($H168="","",SUMIFS('3_Ventas_Diarias'!$J$11:$J$610,'3_Ventas_Diarias'!$C$11:$C$610,$H168,'3_Ventas_Diarias'!$A$11:$A$610,"&gt;="&amp;'4_Dashboard_DAMABIS'!$P$5,'3_Ventas_Diarias'!$A$11:$A$610,"&lt;="&amp;'4_Dashboard_DAMABIS'!$P$6))</f>
        <v/>
      </c>
      <c r="M168" s="9">
        <f>IF($H168="","",N($K168)+ROW()/1000000)</f>
        <v/>
      </c>
    </row>
    <row r="169">
      <c r="H169" s="11">
        <f>IF('2_Control_de_Stock'!$A$176="","",'2_Control_de_Stock'!$A$176)</f>
        <v/>
      </c>
      <c r="I169" s="11">
        <f>IF('2_Control_de_Stock'!$A$176="","",'2_Control_de_Stock'!$B$176)</f>
        <v/>
      </c>
      <c r="J169" s="12">
        <f>IF($H169="","",SUMIFS('3_Ventas_Diarias'!$E$11:$E$610,'3_Ventas_Diarias'!$C$11:$C$610,$H169,'3_Ventas_Diarias'!$A$11:$A$610,"&gt;="&amp;'4_Dashboard_DAMABIS'!$P$5,'3_Ventas_Diarias'!$A$11:$A$610,"&lt;="&amp;'4_Dashboard_DAMABIS'!$P$6))</f>
        <v/>
      </c>
      <c r="K169" s="13">
        <f>IF($H169="","",SUMIFS('3_Ventas_Diarias'!$G$11:$G$610,'3_Ventas_Diarias'!$C$11:$C$610,$H169,'3_Ventas_Diarias'!$A$11:$A$610,"&gt;="&amp;'4_Dashboard_DAMABIS'!$P$5,'3_Ventas_Diarias'!$A$11:$A$610,"&lt;="&amp;'4_Dashboard_DAMABIS'!$P$6))</f>
        <v/>
      </c>
      <c r="L169" s="13">
        <f>IF($H169="","",SUMIFS('3_Ventas_Diarias'!$J$11:$J$610,'3_Ventas_Diarias'!$C$11:$C$610,$H169,'3_Ventas_Diarias'!$A$11:$A$610,"&gt;="&amp;'4_Dashboard_DAMABIS'!$P$5,'3_Ventas_Diarias'!$A$11:$A$610,"&lt;="&amp;'4_Dashboard_DAMABIS'!$P$6))</f>
        <v/>
      </c>
      <c r="M169" s="14">
        <f>IF($H169="","",N($K169)+ROW()/1000000)</f>
        <v/>
      </c>
    </row>
    <row r="170">
      <c r="H170" s="6">
        <f>IF('2_Control_de_Stock'!$A$177="","",'2_Control_de_Stock'!$A$177)</f>
        <v/>
      </c>
      <c r="I170" s="6">
        <f>IF('2_Control_de_Stock'!$A$177="","",'2_Control_de_Stock'!$B$177)</f>
        <v/>
      </c>
      <c r="J170" s="7">
        <f>IF($H170="","",SUMIFS('3_Ventas_Diarias'!$E$11:$E$610,'3_Ventas_Diarias'!$C$11:$C$610,$H170,'3_Ventas_Diarias'!$A$11:$A$610,"&gt;="&amp;'4_Dashboard_DAMABIS'!$P$5,'3_Ventas_Diarias'!$A$11:$A$610,"&lt;="&amp;'4_Dashboard_DAMABIS'!$P$6))</f>
        <v/>
      </c>
      <c r="K170" s="8">
        <f>IF($H170="","",SUMIFS('3_Ventas_Diarias'!$G$11:$G$610,'3_Ventas_Diarias'!$C$11:$C$610,$H170,'3_Ventas_Diarias'!$A$11:$A$610,"&gt;="&amp;'4_Dashboard_DAMABIS'!$P$5,'3_Ventas_Diarias'!$A$11:$A$610,"&lt;="&amp;'4_Dashboard_DAMABIS'!$P$6))</f>
        <v/>
      </c>
      <c r="L170" s="8">
        <f>IF($H170="","",SUMIFS('3_Ventas_Diarias'!$J$11:$J$610,'3_Ventas_Diarias'!$C$11:$C$610,$H170,'3_Ventas_Diarias'!$A$11:$A$610,"&gt;="&amp;'4_Dashboard_DAMABIS'!$P$5,'3_Ventas_Diarias'!$A$11:$A$610,"&lt;="&amp;'4_Dashboard_DAMABIS'!$P$6))</f>
        <v/>
      </c>
      <c r="M170" s="9">
        <f>IF($H170="","",N($K170)+ROW()/1000000)</f>
        <v/>
      </c>
    </row>
    <row r="171">
      <c r="H171" s="11">
        <f>IF('2_Control_de_Stock'!$A$178="","",'2_Control_de_Stock'!$A$178)</f>
        <v/>
      </c>
      <c r="I171" s="11">
        <f>IF('2_Control_de_Stock'!$A$178="","",'2_Control_de_Stock'!$B$178)</f>
        <v/>
      </c>
      <c r="J171" s="12">
        <f>IF($H171="","",SUMIFS('3_Ventas_Diarias'!$E$11:$E$610,'3_Ventas_Diarias'!$C$11:$C$610,$H171,'3_Ventas_Diarias'!$A$11:$A$610,"&gt;="&amp;'4_Dashboard_DAMABIS'!$P$5,'3_Ventas_Diarias'!$A$11:$A$610,"&lt;="&amp;'4_Dashboard_DAMABIS'!$P$6))</f>
        <v/>
      </c>
      <c r="K171" s="13">
        <f>IF($H171="","",SUMIFS('3_Ventas_Diarias'!$G$11:$G$610,'3_Ventas_Diarias'!$C$11:$C$610,$H171,'3_Ventas_Diarias'!$A$11:$A$610,"&gt;="&amp;'4_Dashboard_DAMABIS'!$P$5,'3_Ventas_Diarias'!$A$11:$A$610,"&lt;="&amp;'4_Dashboard_DAMABIS'!$P$6))</f>
        <v/>
      </c>
      <c r="L171" s="13">
        <f>IF($H171="","",SUMIFS('3_Ventas_Diarias'!$J$11:$J$610,'3_Ventas_Diarias'!$C$11:$C$610,$H171,'3_Ventas_Diarias'!$A$11:$A$610,"&gt;="&amp;'4_Dashboard_DAMABIS'!$P$5,'3_Ventas_Diarias'!$A$11:$A$610,"&lt;="&amp;'4_Dashboard_DAMABIS'!$P$6))</f>
        <v/>
      </c>
      <c r="M171" s="14">
        <f>IF($H171="","",N($K171)+ROW()/1000000)</f>
        <v/>
      </c>
    </row>
    <row r="172">
      <c r="H172" s="6">
        <f>IF('2_Control_de_Stock'!$A$179="","",'2_Control_de_Stock'!$A$179)</f>
        <v/>
      </c>
      <c r="I172" s="6">
        <f>IF('2_Control_de_Stock'!$A$179="","",'2_Control_de_Stock'!$B$179)</f>
        <v/>
      </c>
      <c r="J172" s="7">
        <f>IF($H172="","",SUMIFS('3_Ventas_Diarias'!$E$11:$E$610,'3_Ventas_Diarias'!$C$11:$C$610,$H172,'3_Ventas_Diarias'!$A$11:$A$610,"&gt;="&amp;'4_Dashboard_DAMABIS'!$P$5,'3_Ventas_Diarias'!$A$11:$A$610,"&lt;="&amp;'4_Dashboard_DAMABIS'!$P$6))</f>
        <v/>
      </c>
      <c r="K172" s="8">
        <f>IF($H172="","",SUMIFS('3_Ventas_Diarias'!$G$11:$G$610,'3_Ventas_Diarias'!$C$11:$C$610,$H172,'3_Ventas_Diarias'!$A$11:$A$610,"&gt;="&amp;'4_Dashboard_DAMABIS'!$P$5,'3_Ventas_Diarias'!$A$11:$A$610,"&lt;="&amp;'4_Dashboard_DAMABIS'!$P$6))</f>
        <v/>
      </c>
      <c r="L172" s="8">
        <f>IF($H172="","",SUMIFS('3_Ventas_Diarias'!$J$11:$J$610,'3_Ventas_Diarias'!$C$11:$C$610,$H172,'3_Ventas_Diarias'!$A$11:$A$610,"&gt;="&amp;'4_Dashboard_DAMABIS'!$P$5,'3_Ventas_Diarias'!$A$11:$A$610,"&lt;="&amp;'4_Dashboard_DAMABIS'!$P$6))</f>
        <v/>
      </c>
      <c r="M172" s="9">
        <f>IF($H172="","",N($K172)+ROW()/1000000)</f>
        <v/>
      </c>
    </row>
    <row r="173">
      <c r="H173" s="11">
        <f>IF('2_Control_de_Stock'!$A$180="","",'2_Control_de_Stock'!$A$180)</f>
        <v/>
      </c>
      <c r="I173" s="11">
        <f>IF('2_Control_de_Stock'!$A$180="","",'2_Control_de_Stock'!$B$180)</f>
        <v/>
      </c>
      <c r="J173" s="12">
        <f>IF($H173="","",SUMIFS('3_Ventas_Diarias'!$E$11:$E$610,'3_Ventas_Diarias'!$C$11:$C$610,$H173,'3_Ventas_Diarias'!$A$11:$A$610,"&gt;="&amp;'4_Dashboard_DAMABIS'!$P$5,'3_Ventas_Diarias'!$A$11:$A$610,"&lt;="&amp;'4_Dashboard_DAMABIS'!$P$6))</f>
        <v/>
      </c>
      <c r="K173" s="13">
        <f>IF($H173="","",SUMIFS('3_Ventas_Diarias'!$G$11:$G$610,'3_Ventas_Diarias'!$C$11:$C$610,$H173,'3_Ventas_Diarias'!$A$11:$A$610,"&gt;="&amp;'4_Dashboard_DAMABIS'!$P$5,'3_Ventas_Diarias'!$A$11:$A$610,"&lt;="&amp;'4_Dashboard_DAMABIS'!$P$6))</f>
        <v/>
      </c>
      <c r="L173" s="13">
        <f>IF($H173="","",SUMIFS('3_Ventas_Diarias'!$J$11:$J$610,'3_Ventas_Diarias'!$C$11:$C$610,$H173,'3_Ventas_Diarias'!$A$11:$A$610,"&gt;="&amp;'4_Dashboard_DAMABIS'!$P$5,'3_Ventas_Diarias'!$A$11:$A$610,"&lt;="&amp;'4_Dashboard_DAMABIS'!$P$6))</f>
        <v/>
      </c>
      <c r="M173" s="14">
        <f>IF($H173="","",N($K173)+ROW()/1000000)</f>
        <v/>
      </c>
    </row>
    <row r="174">
      <c r="H174" s="6">
        <f>IF('2_Control_de_Stock'!$A$181="","",'2_Control_de_Stock'!$A$181)</f>
        <v/>
      </c>
      <c r="I174" s="6">
        <f>IF('2_Control_de_Stock'!$A$181="","",'2_Control_de_Stock'!$B$181)</f>
        <v/>
      </c>
      <c r="J174" s="7">
        <f>IF($H174="","",SUMIFS('3_Ventas_Diarias'!$E$11:$E$610,'3_Ventas_Diarias'!$C$11:$C$610,$H174,'3_Ventas_Diarias'!$A$11:$A$610,"&gt;="&amp;'4_Dashboard_DAMABIS'!$P$5,'3_Ventas_Diarias'!$A$11:$A$610,"&lt;="&amp;'4_Dashboard_DAMABIS'!$P$6))</f>
        <v/>
      </c>
      <c r="K174" s="8">
        <f>IF($H174="","",SUMIFS('3_Ventas_Diarias'!$G$11:$G$610,'3_Ventas_Diarias'!$C$11:$C$610,$H174,'3_Ventas_Diarias'!$A$11:$A$610,"&gt;="&amp;'4_Dashboard_DAMABIS'!$P$5,'3_Ventas_Diarias'!$A$11:$A$610,"&lt;="&amp;'4_Dashboard_DAMABIS'!$P$6))</f>
        <v/>
      </c>
      <c r="L174" s="8">
        <f>IF($H174="","",SUMIFS('3_Ventas_Diarias'!$J$11:$J$610,'3_Ventas_Diarias'!$C$11:$C$610,$H174,'3_Ventas_Diarias'!$A$11:$A$610,"&gt;="&amp;'4_Dashboard_DAMABIS'!$P$5,'3_Ventas_Diarias'!$A$11:$A$610,"&lt;="&amp;'4_Dashboard_DAMABIS'!$P$6))</f>
        <v/>
      </c>
      <c r="M174" s="9">
        <f>IF($H174="","",N($K174)+ROW()/1000000)</f>
        <v/>
      </c>
    </row>
    <row r="175">
      <c r="H175" s="11">
        <f>IF('2_Control_de_Stock'!$A$182="","",'2_Control_de_Stock'!$A$182)</f>
        <v/>
      </c>
      <c r="I175" s="11">
        <f>IF('2_Control_de_Stock'!$A$182="","",'2_Control_de_Stock'!$B$182)</f>
        <v/>
      </c>
      <c r="J175" s="12">
        <f>IF($H175="","",SUMIFS('3_Ventas_Diarias'!$E$11:$E$610,'3_Ventas_Diarias'!$C$11:$C$610,$H175,'3_Ventas_Diarias'!$A$11:$A$610,"&gt;="&amp;'4_Dashboard_DAMABIS'!$P$5,'3_Ventas_Diarias'!$A$11:$A$610,"&lt;="&amp;'4_Dashboard_DAMABIS'!$P$6))</f>
        <v/>
      </c>
      <c r="K175" s="13">
        <f>IF($H175="","",SUMIFS('3_Ventas_Diarias'!$G$11:$G$610,'3_Ventas_Diarias'!$C$11:$C$610,$H175,'3_Ventas_Diarias'!$A$11:$A$610,"&gt;="&amp;'4_Dashboard_DAMABIS'!$P$5,'3_Ventas_Diarias'!$A$11:$A$610,"&lt;="&amp;'4_Dashboard_DAMABIS'!$P$6))</f>
        <v/>
      </c>
      <c r="L175" s="13">
        <f>IF($H175="","",SUMIFS('3_Ventas_Diarias'!$J$11:$J$610,'3_Ventas_Diarias'!$C$11:$C$610,$H175,'3_Ventas_Diarias'!$A$11:$A$610,"&gt;="&amp;'4_Dashboard_DAMABIS'!$P$5,'3_Ventas_Diarias'!$A$11:$A$610,"&lt;="&amp;'4_Dashboard_DAMABIS'!$P$6))</f>
        <v/>
      </c>
      <c r="M175" s="14">
        <f>IF($H175="","",N($K175)+ROW()/1000000)</f>
        <v/>
      </c>
    </row>
    <row r="176">
      <c r="H176" s="6">
        <f>IF('2_Control_de_Stock'!$A$183="","",'2_Control_de_Stock'!$A$183)</f>
        <v/>
      </c>
      <c r="I176" s="6">
        <f>IF('2_Control_de_Stock'!$A$183="","",'2_Control_de_Stock'!$B$183)</f>
        <v/>
      </c>
      <c r="J176" s="7">
        <f>IF($H176="","",SUMIFS('3_Ventas_Diarias'!$E$11:$E$610,'3_Ventas_Diarias'!$C$11:$C$610,$H176,'3_Ventas_Diarias'!$A$11:$A$610,"&gt;="&amp;'4_Dashboard_DAMABIS'!$P$5,'3_Ventas_Diarias'!$A$11:$A$610,"&lt;="&amp;'4_Dashboard_DAMABIS'!$P$6))</f>
        <v/>
      </c>
      <c r="K176" s="8">
        <f>IF($H176="","",SUMIFS('3_Ventas_Diarias'!$G$11:$G$610,'3_Ventas_Diarias'!$C$11:$C$610,$H176,'3_Ventas_Diarias'!$A$11:$A$610,"&gt;="&amp;'4_Dashboard_DAMABIS'!$P$5,'3_Ventas_Diarias'!$A$11:$A$610,"&lt;="&amp;'4_Dashboard_DAMABIS'!$P$6))</f>
        <v/>
      </c>
      <c r="L176" s="8">
        <f>IF($H176="","",SUMIFS('3_Ventas_Diarias'!$J$11:$J$610,'3_Ventas_Diarias'!$C$11:$C$610,$H176,'3_Ventas_Diarias'!$A$11:$A$610,"&gt;="&amp;'4_Dashboard_DAMABIS'!$P$5,'3_Ventas_Diarias'!$A$11:$A$610,"&lt;="&amp;'4_Dashboard_DAMABIS'!$P$6))</f>
        <v/>
      </c>
      <c r="M176" s="9">
        <f>IF($H176="","",N($K176)+ROW()/1000000)</f>
        <v/>
      </c>
    </row>
    <row r="177">
      <c r="H177" s="11">
        <f>IF('2_Control_de_Stock'!$A$184="","",'2_Control_de_Stock'!$A$184)</f>
        <v/>
      </c>
      <c r="I177" s="11">
        <f>IF('2_Control_de_Stock'!$A$184="","",'2_Control_de_Stock'!$B$184)</f>
        <v/>
      </c>
      <c r="J177" s="12">
        <f>IF($H177="","",SUMIFS('3_Ventas_Diarias'!$E$11:$E$610,'3_Ventas_Diarias'!$C$11:$C$610,$H177,'3_Ventas_Diarias'!$A$11:$A$610,"&gt;="&amp;'4_Dashboard_DAMABIS'!$P$5,'3_Ventas_Diarias'!$A$11:$A$610,"&lt;="&amp;'4_Dashboard_DAMABIS'!$P$6))</f>
        <v/>
      </c>
      <c r="K177" s="13">
        <f>IF($H177="","",SUMIFS('3_Ventas_Diarias'!$G$11:$G$610,'3_Ventas_Diarias'!$C$11:$C$610,$H177,'3_Ventas_Diarias'!$A$11:$A$610,"&gt;="&amp;'4_Dashboard_DAMABIS'!$P$5,'3_Ventas_Diarias'!$A$11:$A$610,"&lt;="&amp;'4_Dashboard_DAMABIS'!$P$6))</f>
        <v/>
      </c>
      <c r="L177" s="13">
        <f>IF($H177="","",SUMIFS('3_Ventas_Diarias'!$J$11:$J$610,'3_Ventas_Diarias'!$C$11:$C$610,$H177,'3_Ventas_Diarias'!$A$11:$A$610,"&gt;="&amp;'4_Dashboard_DAMABIS'!$P$5,'3_Ventas_Diarias'!$A$11:$A$610,"&lt;="&amp;'4_Dashboard_DAMABIS'!$P$6))</f>
        <v/>
      </c>
      <c r="M177" s="14">
        <f>IF($H177="","",N($K177)+ROW()/1000000)</f>
        <v/>
      </c>
    </row>
    <row r="178">
      <c r="H178" s="6">
        <f>IF('2_Control_de_Stock'!$A$185="","",'2_Control_de_Stock'!$A$185)</f>
        <v/>
      </c>
      <c r="I178" s="6">
        <f>IF('2_Control_de_Stock'!$A$185="","",'2_Control_de_Stock'!$B$185)</f>
        <v/>
      </c>
      <c r="J178" s="7">
        <f>IF($H178="","",SUMIFS('3_Ventas_Diarias'!$E$11:$E$610,'3_Ventas_Diarias'!$C$11:$C$610,$H178,'3_Ventas_Diarias'!$A$11:$A$610,"&gt;="&amp;'4_Dashboard_DAMABIS'!$P$5,'3_Ventas_Diarias'!$A$11:$A$610,"&lt;="&amp;'4_Dashboard_DAMABIS'!$P$6))</f>
        <v/>
      </c>
      <c r="K178" s="8">
        <f>IF($H178="","",SUMIFS('3_Ventas_Diarias'!$G$11:$G$610,'3_Ventas_Diarias'!$C$11:$C$610,$H178,'3_Ventas_Diarias'!$A$11:$A$610,"&gt;="&amp;'4_Dashboard_DAMABIS'!$P$5,'3_Ventas_Diarias'!$A$11:$A$610,"&lt;="&amp;'4_Dashboard_DAMABIS'!$P$6))</f>
        <v/>
      </c>
      <c r="L178" s="8">
        <f>IF($H178="","",SUMIFS('3_Ventas_Diarias'!$J$11:$J$610,'3_Ventas_Diarias'!$C$11:$C$610,$H178,'3_Ventas_Diarias'!$A$11:$A$610,"&gt;="&amp;'4_Dashboard_DAMABIS'!$P$5,'3_Ventas_Diarias'!$A$11:$A$610,"&lt;="&amp;'4_Dashboard_DAMABIS'!$P$6))</f>
        <v/>
      </c>
      <c r="M178" s="9">
        <f>IF($H178="","",N($K178)+ROW()/1000000)</f>
        <v/>
      </c>
    </row>
    <row r="179">
      <c r="H179" s="11">
        <f>IF('2_Control_de_Stock'!$A$186="","",'2_Control_de_Stock'!$A$186)</f>
        <v/>
      </c>
      <c r="I179" s="11">
        <f>IF('2_Control_de_Stock'!$A$186="","",'2_Control_de_Stock'!$B$186)</f>
        <v/>
      </c>
      <c r="J179" s="12">
        <f>IF($H179="","",SUMIFS('3_Ventas_Diarias'!$E$11:$E$610,'3_Ventas_Diarias'!$C$11:$C$610,$H179,'3_Ventas_Diarias'!$A$11:$A$610,"&gt;="&amp;'4_Dashboard_DAMABIS'!$P$5,'3_Ventas_Diarias'!$A$11:$A$610,"&lt;="&amp;'4_Dashboard_DAMABIS'!$P$6))</f>
        <v/>
      </c>
      <c r="K179" s="13">
        <f>IF($H179="","",SUMIFS('3_Ventas_Diarias'!$G$11:$G$610,'3_Ventas_Diarias'!$C$11:$C$610,$H179,'3_Ventas_Diarias'!$A$11:$A$610,"&gt;="&amp;'4_Dashboard_DAMABIS'!$P$5,'3_Ventas_Diarias'!$A$11:$A$610,"&lt;="&amp;'4_Dashboard_DAMABIS'!$P$6))</f>
        <v/>
      </c>
      <c r="L179" s="13">
        <f>IF($H179="","",SUMIFS('3_Ventas_Diarias'!$J$11:$J$610,'3_Ventas_Diarias'!$C$11:$C$610,$H179,'3_Ventas_Diarias'!$A$11:$A$610,"&gt;="&amp;'4_Dashboard_DAMABIS'!$P$5,'3_Ventas_Diarias'!$A$11:$A$610,"&lt;="&amp;'4_Dashboard_DAMABIS'!$P$6))</f>
        <v/>
      </c>
      <c r="M179" s="14">
        <f>IF($H179="","",N($K179)+ROW()/1000000)</f>
        <v/>
      </c>
    </row>
    <row r="180">
      <c r="H180" s="6">
        <f>IF('2_Control_de_Stock'!$A$187="","",'2_Control_de_Stock'!$A$187)</f>
        <v/>
      </c>
      <c r="I180" s="6">
        <f>IF('2_Control_de_Stock'!$A$187="","",'2_Control_de_Stock'!$B$187)</f>
        <v/>
      </c>
      <c r="J180" s="7">
        <f>IF($H180="","",SUMIFS('3_Ventas_Diarias'!$E$11:$E$610,'3_Ventas_Diarias'!$C$11:$C$610,$H180,'3_Ventas_Diarias'!$A$11:$A$610,"&gt;="&amp;'4_Dashboard_DAMABIS'!$P$5,'3_Ventas_Diarias'!$A$11:$A$610,"&lt;="&amp;'4_Dashboard_DAMABIS'!$P$6))</f>
        <v/>
      </c>
      <c r="K180" s="8">
        <f>IF($H180="","",SUMIFS('3_Ventas_Diarias'!$G$11:$G$610,'3_Ventas_Diarias'!$C$11:$C$610,$H180,'3_Ventas_Diarias'!$A$11:$A$610,"&gt;="&amp;'4_Dashboard_DAMABIS'!$P$5,'3_Ventas_Diarias'!$A$11:$A$610,"&lt;="&amp;'4_Dashboard_DAMABIS'!$P$6))</f>
        <v/>
      </c>
      <c r="L180" s="8">
        <f>IF($H180="","",SUMIFS('3_Ventas_Diarias'!$J$11:$J$610,'3_Ventas_Diarias'!$C$11:$C$610,$H180,'3_Ventas_Diarias'!$A$11:$A$610,"&gt;="&amp;'4_Dashboard_DAMABIS'!$P$5,'3_Ventas_Diarias'!$A$11:$A$610,"&lt;="&amp;'4_Dashboard_DAMABIS'!$P$6))</f>
        <v/>
      </c>
      <c r="M180" s="9">
        <f>IF($H180="","",N($K180)+ROW()/1000000)</f>
        <v/>
      </c>
    </row>
    <row r="181">
      <c r="H181" s="11">
        <f>IF('2_Control_de_Stock'!$A$188="","",'2_Control_de_Stock'!$A$188)</f>
        <v/>
      </c>
      <c r="I181" s="11">
        <f>IF('2_Control_de_Stock'!$A$188="","",'2_Control_de_Stock'!$B$188)</f>
        <v/>
      </c>
      <c r="J181" s="12">
        <f>IF($H181="","",SUMIFS('3_Ventas_Diarias'!$E$11:$E$610,'3_Ventas_Diarias'!$C$11:$C$610,$H181,'3_Ventas_Diarias'!$A$11:$A$610,"&gt;="&amp;'4_Dashboard_DAMABIS'!$P$5,'3_Ventas_Diarias'!$A$11:$A$610,"&lt;="&amp;'4_Dashboard_DAMABIS'!$P$6))</f>
        <v/>
      </c>
      <c r="K181" s="13">
        <f>IF($H181="","",SUMIFS('3_Ventas_Diarias'!$G$11:$G$610,'3_Ventas_Diarias'!$C$11:$C$610,$H181,'3_Ventas_Diarias'!$A$11:$A$610,"&gt;="&amp;'4_Dashboard_DAMABIS'!$P$5,'3_Ventas_Diarias'!$A$11:$A$610,"&lt;="&amp;'4_Dashboard_DAMABIS'!$P$6))</f>
        <v/>
      </c>
      <c r="L181" s="13">
        <f>IF($H181="","",SUMIFS('3_Ventas_Diarias'!$J$11:$J$610,'3_Ventas_Diarias'!$C$11:$C$610,$H181,'3_Ventas_Diarias'!$A$11:$A$610,"&gt;="&amp;'4_Dashboard_DAMABIS'!$P$5,'3_Ventas_Diarias'!$A$11:$A$610,"&lt;="&amp;'4_Dashboard_DAMABIS'!$P$6))</f>
        <v/>
      </c>
      <c r="M181" s="14">
        <f>IF($H181="","",N($K181)+ROW()/1000000)</f>
        <v/>
      </c>
    </row>
    <row r="182">
      <c r="H182" s="6">
        <f>IF('2_Control_de_Stock'!$A$189="","",'2_Control_de_Stock'!$A$189)</f>
        <v/>
      </c>
      <c r="I182" s="6">
        <f>IF('2_Control_de_Stock'!$A$189="","",'2_Control_de_Stock'!$B$189)</f>
        <v/>
      </c>
      <c r="J182" s="7">
        <f>IF($H182="","",SUMIFS('3_Ventas_Diarias'!$E$11:$E$610,'3_Ventas_Diarias'!$C$11:$C$610,$H182,'3_Ventas_Diarias'!$A$11:$A$610,"&gt;="&amp;'4_Dashboard_DAMABIS'!$P$5,'3_Ventas_Diarias'!$A$11:$A$610,"&lt;="&amp;'4_Dashboard_DAMABIS'!$P$6))</f>
        <v/>
      </c>
      <c r="K182" s="8">
        <f>IF($H182="","",SUMIFS('3_Ventas_Diarias'!$G$11:$G$610,'3_Ventas_Diarias'!$C$11:$C$610,$H182,'3_Ventas_Diarias'!$A$11:$A$610,"&gt;="&amp;'4_Dashboard_DAMABIS'!$P$5,'3_Ventas_Diarias'!$A$11:$A$610,"&lt;="&amp;'4_Dashboard_DAMABIS'!$P$6))</f>
        <v/>
      </c>
      <c r="L182" s="8">
        <f>IF($H182="","",SUMIFS('3_Ventas_Diarias'!$J$11:$J$610,'3_Ventas_Diarias'!$C$11:$C$610,$H182,'3_Ventas_Diarias'!$A$11:$A$610,"&gt;="&amp;'4_Dashboard_DAMABIS'!$P$5,'3_Ventas_Diarias'!$A$11:$A$610,"&lt;="&amp;'4_Dashboard_DAMABIS'!$P$6))</f>
        <v/>
      </c>
      <c r="M182" s="9">
        <f>IF($H182="","",N($K182)+ROW()/1000000)</f>
        <v/>
      </c>
    </row>
    <row r="183">
      <c r="H183" s="11">
        <f>IF('2_Control_de_Stock'!$A$190="","",'2_Control_de_Stock'!$A$190)</f>
        <v/>
      </c>
      <c r="I183" s="11">
        <f>IF('2_Control_de_Stock'!$A$190="","",'2_Control_de_Stock'!$B$190)</f>
        <v/>
      </c>
      <c r="J183" s="12">
        <f>IF($H183="","",SUMIFS('3_Ventas_Diarias'!$E$11:$E$610,'3_Ventas_Diarias'!$C$11:$C$610,$H183,'3_Ventas_Diarias'!$A$11:$A$610,"&gt;="&amp;'4_Dashboard_DAMABIS'!$P$5,'3_Ventas_Diarias'!$A$11:$A$610,"&lt;="&amp;'4_Dashboard_DAMABIS'!$P$6))</f>
        <v/>
      </c>
      <c r="K183" s="13">
        <f>IF($H183="","",SUMIFS('3_Ventas_Diarias'!$G$11:$G$610,'3_Ventas_Diarias'!$C$11:$C$610,$H183,'3_Ventas_Diarias'!$A$11:$A$610,"&gt;="&amp;'4_Dashboard_DAMABIS'!$P$5,'3_Ventas_Diarias'!$A$11:$A$610,"&lt;="&amp;'4_Dashboard_DAMABIS'!$P$6))</f>
        <v/>
      </c>
      <c r="L183" s="13">
        <f>IF($H183="","",SUMIFS('3_Ventas_Diarias'!$J$11:$J$610,'3_Ventas_Diarias'!$C$11:$C$610,$H183,'3_Ventas_Diarias'!$A$11:$A$610,"&gt;="&amp;'4_Dashboard_DAMABIS'!$P$5,'3_Ventas_Diarias'!$A$11:$A$610,"&lt;="&amp;'4_Dashboard_DAMABIS'!$P$6))</f>
        <v/>
      </c>
      <c r="M183" s="14">
        <f>IF($H183="","",N($K183)+ROW()/1000000)</f>
        <v/>
      </c>
    </row>
    <row r="184">
      <c r="H184" s="6">
        <f>IF('2_Control_de_Stock'!$A$191="","",'2_Control_de_Stock'!$A$191)</f>
        <v/>
      </c>
      <c r="I184" s="6">
        <f>IF('2_Control_de_Stock'!$A$191="","",'2_Control_de_Stock'!$B$191)</f>
        <v/>
      </c>
      <c r="J184" s="7">
        <f>IF($H184="","",SUMIFS('3_Ventas_Diarias'!$E$11:$E$610,'3_Ventas_Diarias'!$C$11:$C$610,$H184,'3_Ventas_Diarias'!$A$11:$A$610,"&gt;="&amp;'4_Dashboard_DAMABIS'!$P$5,'3_Ventas_Diarias'!$A$11:$A$610,"&lt;="&amp;'4_Dashboard_DAMABIS'!$P$6))</f>
        <v/>
      </c>
      <c r="K184" s="8">
        <f>IF($H184="","",SUMIFS('3_Ventas_Diarias'!$G$11:$G$610,'3_Ventas_Diarias'!$C$11:$C$610,$H184,'3_Ventas_Diarias'!$A$11:$A$610,"&gt;="&amp;'4_Dashboard_DAMABIS'!$P$5,'3_Ventas_Diarias'!$A$11:$A$610,"&lt;="&amp;'4_Dashboard_DAMABIS'!$P$6))</f>
        <v/>
      </c>
      <c r="L184" s="8">
        <f>IF($H184="","",SUMIFS('3_Ventas_Diarias'!$J$11:$J$610,'3_Ventas_Diarias'!$C$11:$C$610,$H184,'3_Ventas_Diarias'!$A$11:$A$610,"&gt;="&amp;'4_Dashboard_DAMABIS'!$P$5,'3_Ventas_Diarias'!$A$11:$A$610,"&lt;="&amp;'4_Dashboard_DAMABIS'!$P$6))</f>
        <v/>
      </c>
      <c r="M184" s="9">
        <f>IF($H184="","",N($K184)+ROW()/1000000)</f>
        <v/>
      </c>
    </row>
    <row r="185">
      <c r="H185" s="11">
        <f>IF('2_Control_de_Stock'!$A$192="","",'2_Control_de_Stock'!$A$192)</f>
        <v/>
      </c>
      <c r="I185" s="11">
        <f>IF('2_Control_de_Stock'!$A$192="","",'2_Control_de_Stock'!$B$192)</f>
        <v/>
      </c>
      <c r="J185" s="12">
        <f>IF($H185="","",SUMIFS('3_Ventas_Diarias'!$E$11:$E$610,'3_Ventas_Diarias'!$C$11:$C$610,$H185,'3_Ventas_Diarias'!$A$11:$A$610,"&gt;="&amp;'4_Dashboard_DAMABIS'!$P$5,'3_Ventas_Diarias'!$A$11:$A$610,"&lt;="&amp;'4_Dashboard_DAMABIS'!$P$6))</f>
        <v/>
      </c>
      <c r="K185" s="13">
        <f>IF($H185="","",SUMIFS('3_Ventas_Diarias'!$G$11:$G$610,'3_Ventas_Diarias'!$C$11:$C$610,$H185,'3_Ventas_Diarias'!$A$11:$A$610,"&gt;="&amp;'4_Dashboard_DAMABIS'!$P$5,'3_Ventas_Diarias'!$A$11:$A$610,"&lt;="&amp;'4_Dashboard_DAMABIS'!$P$6))</f>
        <v/>
      </c>
      <c r="L185" s="13">
        <f>IF($H185="","",SUMIFS('3_Ventas_Diarias'!$J$11:$J$610,'3_Ventas_Diarias'!$C$11:$C$610,$H185,'3_Ventas_Diarias'!$A$11:$A$610,"&gt;="&amp;'4_Dashboard_DAMABIS'!$P$5,'3_Ventas_Diarias'!$A$11:$A$610,"&lt;="&amp;'4_Dashboard_DAMABIS'!$P$6))</f>
        <v/>
      </c>
      <c r="M185" s="14">
        <f>IF($H185="","",N($K185)+ROW()/1000000)</f>
        <v/>
      </c>
    </row>
    <row r="186">
      <c r="H186" s="6">
        <f>IF('2_Control_de_Stock'!$A$193="","",'2_Control_de_Stock'!$A$193)</f>
        <v/>
      </c>
      <c r="I186" s="6">
        <f>IF('2_Control_de_Stock'!$A$193="","",'2_Control_de_Stock'!$B$193)</f>
        <v/>
      </c>
      <c r="J186" s="7">
        <f>IF($H186="","",SUMIFS('3_Ventas_Diarias'!$E$11:$E$610,'3_Ventas_Diarias'!$C$11:$C$610,$H186,'3_Ventas_Diarias'!$A$11:$A$610,"&gt;="&amp;'4_Dashboard_DAMABIS'!$P$5,'3_Ventas_Diarias'!$A$11:$A$610,"&lt;="&amp;'4_Dashboard_DAMABIS'!$P$6))</f>
        <v/>
      </c>
      <c r="K186" s="8">
        <f>IF($H186="","",SUMIFS('3_Ventas_Diarias'!$G$11:$G$610,'3_Ventas_Diarias'!$C$11:$C$610,$H186,'3_Ventas_Diarias'!$A$11:$A$610,"&gt;="&amp;'4_Dashboard_DAMABIS'!$P$5,'3_Ventas_Diarias'!$A$11:$A$610,"&lt;="&amp;'4_Dashboard_DAMABIS'!$P$6))</f>
        <v/>
      </c>
      <c r="L186" s="8">
        <f>IF($H186="","",SUMIFS('3_Ventas_Diarias'!$J$11:$J$610,'3_Ventas_Diarias'!$C$11:$C$610,$H186,'3_Ventas_Diarias'!$A$11:$A$610,"&gt;="&amp;'4_Dashboard_DAMABIS'!$P$5,'3_Ventas_Diarias'!$A$11:$A$610,"&lt;="&amp;'4_Dashboard_DAMABIS'!$P$6))</f>
        <v/>
      </c>
      <c r="M186" s="9">
        <f>IF($H186="","",N($K186)+ROW()/1000000)</f>
        <v/>
      </c>
    </row>
    <row r="187">
      <c r="H187" s="11">
        <f>IF('2_Control_de_Stock'!$A$194="","",'2_Control_de_Stock'!$A$194)</f>
        <v/>
      </c>
      <c r="I187" s="11">
        <f>IF('2_Control_de_Stock'!$A$194="","",'2_Control_de_Stock'!$B$194)</f>
        <v/>
      </c>
      <c r="J187" s="12">
        <f>IF($H187="","",SUMIFS('3_Ventas_Diarias'!$E$11:$E$610,'3_Ventas_Diarias'!$C$11:$C$610,$H187,'3_Ventas_Diarias'!$A$11:$A$610,"&gt;="&amp;'4_Dashboard_DAMABIS'!$P$5,'3_Ventas_Diarias'!$A$11:$A$610,"&lt;="&amp;'4_Dashboard_DAMABIS'!$P$6))</f>
        <v/>
      </c>
      <c r="K187" s="13">
        <f>IF($H187="","",SUMIFS('3_Ventas_Diarias'!$G$11:$G$610,'3_Ventas_Diarias'!$C$11:$C$610,$H187,'3_Ventas_Diarias'!$A$11:$A$610,"&gt;="&amp;'4_Dashboard_DAMABIS'!$P$5,'3_Ventas_Diarias'!$A$11:$A$610,"&lt;="&amp;'4_Dashboard_DAMABIS'!$P$6))</f>
        <v/>
      </c>
      <c r="L187" s="13">
        <f>IF($H187="","",SUMIFS('3_Ventas_Diarias'!$J$11:$J$610,'3_Ventas_Diarias'!$C$11:$C$610,$H187,'3_Ventas_Diarias'!$A$11:$A$610,"&gt;="&amp;'4_Dashboard_DAMABIS'!$P$5,'3_Ventas_Diarias'!$A$11:$A$610,"&lt;="&amp;'4_Dashboard_DAMABIS'!$P$6))</f>
        <v/>
      </c>
      <c r="M187" s="14">
        <f>IF($H187="","",N($K187)+ROW()/1000000)</f>
        <v/>
      </c>
    </row>
    <row r="188">
      <c r="H188" s="6">
        <f>IF('2_Control_de_Stock'!$A$195="","",'2_Control_de_Stock'!$A$195)</f>
        <v/>
      </c>
      <c r="I188" s="6">
        <f>IF('2_Control_de_Stock'!$A$195="","",'2_Control_de_Stock'!$B$195)</f>
        <v/>
      </c>
      <c r="J188" s="7">
        <f>IF($H188="","",SUMIFS('3_Ventas_Diarias'!$E$11:$E$610,'3_Ventas_Diarias'!$C$11:$C$610,$H188,'3_Ventas_Diarias'!$A$11:$A$610,"&gt;="&amp;'4_Dashboard_DAMABIS'!$P$5,'3_Ventas_Diarias'!$A$11:$A$610,"&lt;="&amp;'4_Dashboard_DAMABIS'!$P$6))</f>
        <v/>
      </c>
      <c r="K188" s="8">
        <f>IF($H188="","",SUMIFS('3_Ventas_Diarias'!$G$11:$G$610,'3_Ventas_Diarias'!$C$11:$C$610,$H188,'3_Ventas_Diarias'!$A$11:$A$610,"&gt;="&amp;'4_Dashboard_DAMABIS'!$P$5,'3_Ventas_Diarias'!$A$11:$A$610,"&lt;="&amp;'4_Dashboard_DAMABIS'!$P$6))</f>
        <v/>
      </c>
      <c r="L188" s="8">
        <f>IF($H188="","",SUMIFS('3_Ventas_Diarias'!$J$11:$J$610,'3_Ventas_Diarias'!$C$11:$C$610,$H188,'3_Ventas_Diarias'!$A$11:$A$610,"&gt;="&amp;'4_Dashboard_DAMABIS'!$P$5,'3_Ventas_Diarias'!$A$11:$A$610,"&lt;="&amp;'4_Dashboard_DAMABIS'!$P$6))</f>
        <v/>
      </c>
      <c r="M188" s="9">
        <f>IF($H188="","",N($K188)+ROW()/1000000)</f>
        <v/>
      </c>
    </row>
    <row r="189">
      <c r="H189" s="11">
        <f>IF('2_Control_de_Stock'!$A$196="","",'2_Control_de_Stock'!$A$196)</f>
        <v/>
      </c>
      <c r="I189" s="11">
        <f>IF('2_Control_de_Stock'!$A$196="","",'2_Control_de_Stock'!$B$196)</f>
        <v/>
      </c>
      <c r="J189" s="12">
        <f>IF($H189="","",SUMIFS('3_Ventas_Diarias'!$E$11:$E$610,'3_Ventas_Diarias'!$C$11:$C$610,$H189,'3_Ventas_Diarias'!$A$11:$A$610,"&gt;="&amp;'4_Dashboard_DAMABIS'!$P$5,'3_Ventas_Diarias'!$A$11:$A$610,"&lt;="&amp;'4_Dashboard_DAMABIS'!$P$6))</f>
        <v/>
      </c>
      <c r="K189" s="13">
        <f>IF($H189="","",SUMIFS('3_Ventas_Diarias'!$G$11:$G$610,'3_Ventas_Diarias'!$C$11:$C$610,$H189,'3_Ventas_Diarias'!$A$11:$A$610,"&gt;="&amp;'4_Dashboard_DAMABIS'!$P$5,'3_Ventas_Diarias'!$A$11:$A$610,"&lt;="&amp;'4_Dashboard_DAMABIS'!$P$6))</f>
        <v/>
      </c>
      <c r="L189" s="13">
        <f>IF($H189="","",SUMIFS('3_Ventas_Diarias'!$J$11:$J$610,'3_Ventas_Diarias'!$C$11:$C$610,$H189,'3_Ventas_Diarias'!$A$11:$A$610,"&gt;="&amp;'4_Dashboard_DAMABIS'!$P$5,'3_Ventas_Diarias'!$A$11:$A$610,"&lt;="&amp;'4_Dashboard_DAMABIS'!$P$6))</f>
        <v/>
      </c>
      <c r="M189" s="14">
        <f>IF($H189="","",N($K189)+ROW()/1000000)</f>
        <v/>
      </c>
    </row>
    <row r="190">
      <c r="H190" s="6">
        <f>IF('2_Control_de_Stock'!$A$197="","",'2_Control_de_Stock'!$A$197)</f>
        <v/>
      </c>
      <c r="I190" s="6">
        <f>IF('2_Control_de_Stock'!$A$197="","",'2_Control_de_Stock'!$B$197)</f>
        <v/>
      </c>
      <c r="J190" s="7">
        <f>IF($H190="","",SUMIFS('3_Ventas_Diarias'!$E$11:$E$610,'3_Ventas_Diarias'!$C$11:$C$610,$H190,'3_Ventas_Diarias'!$A$11:$A$610,"&gt;="&amp;'4_Dashboard_DAMABIS'!$P$5,'3_Ventas_Diarias'!$A$11:$A$610,"&lt;="&amp;'4_Dashboard_DAMABIS'!$P$6))</f>
        <v/>
      </c>
      <c r="K190" s="8">
        <f>IF($H190="","",SUMIFS('3_Ventas_Diarias'!$G$11:$G$610,'3_Ventas_Diarias'!$C$11:$C$610,$H190,'3_Ventas_Diarias'!$A$11:$A$610,"&gt;="&amp;'4_Dashboard_DAMABIS'!$P$5,'3_Ventas_Diarias'!$A$11:$A$610,"&lt;="&amp;'4_Dashboard_DAMABIS'!$P$6))</f>
        <v/>
      </c>
      <c r="L190" s="8">
        <f>IF($H190="","",SUMIFS('3_Ventas_Diarias'!$J$11:$J$610,'3_Ventas_Diarias'!$C$11:$C$610,$H190,'3_Ventas_Diarias'!$A$11:$A$610,"&gt;="&amp;'4_Dashboard_DAMABIS'!$P$5,'3_Ventas_Diarias'!$A$11:$A$610,"&lt;="&amp;'4_Dashboard_DAMABIS'!$P$6))</f>
        <v/>
      </c>
      <c r="M190" s="9">
        <f>IF($H190="","",N($K190)+ROW()/1000000)</f>
        <v/>
      </c>
    </row>
    <row r="191">
      <c r="H191" s="11">
        <f>IF('2_Control_de_Stock'!$A$198="","",'2_Control_de_Stock'!$A$198)</f>
        <v/>
      </c>
      <c r="I191" s="11">
        <f>IF('2_Control_de_Stock'!$A$198="","",'2_Control_de_Stock'!$B$198)</f>
        <v/>
      </c>
      <c r="J191" s="12">
        <f>IF($H191="","",SUMIFS('3_Ventas_Diarias'!$E$11:$E$610,'3_Ventas_Diarias'!$C$11:$C$610,$H191,'3_Ventas_Diarias'!$A$11:$A$610,"&gt;="&amp;'4_Dashboard_DAMABIS'!$P$5,'3_Ventas_Diarias'!$A$11:$A$610,"&lt;="&amp;'4_Dashboard_DAMABIS'!$P$6))</f>
        <v/>
      </c>
      <c r="K191" s="13">
        <f>IF($H191="","",SUMIFS('3_Ventas_Diarias'!$G$11:$G$610,'3_Ventas_Diarias'!$C$11:$C$610,$H191,'3_Ventas_Diarias'!$A$11:$A$610,"&gt;="&amp;'4_Dashboard_DAMABIS'!$P$5,'3_Ventas_Diarias'!$A$11:$A$610,"&lt;="&amp;'4_Dashboard_DAMABIS'!$P$6))</f>
        <v/>
      </c>
      <c r="L191" s="13">
        <f>IF($H191="","",SUMIFS('3_Ventas_Diarias'!$J$11:$J$610,'3_Ventas_Diarias'!$C$11:$C$610,$H191,'3_Ventas_Diarias'!$A$11:$A$610,"&gt;="&amp;'4_Dashboard_DAMABIS'!$P$5,'3_Ventas_Diarias'!$A$11:$A$610,"&lt;="&amp;'4_Dashboard_DAMABIS'!$P$6))</f>
        <v/>
      </c>
      <c r="M191" s="14">
        <f>IF($H191="","",N($K191)+ROW()/1000000)</f>
        <v/>
      </c>
    </row>
    <row r="192">
      <c r="H192" s="6">
        <f>IF('2_Control_de_Stock'!$A$199="","",'2_Control_de_Stock'!$A$199)</f>
        <v/>
      </c>
      <c r="I192" s="6">
        <f>IF('2_Control_de_Stock'!$A$199="","",'2_Control_de_Stock'!$B$199)</f>
        <v/>
      </c>
      <c r="J192" s="7">
        <f>IF($H192="","",SUMIFS('3_Ventas_Diarias'!$E$11:$E$610,'3_Ventas_Diarias'!$C$11:$C$610,$H192,'3_Ventas_Diarias'!$A$11:$A$610,"&gt;="&amp;'4_Dashboard_DAMABIS'!$P$5,'3_Ventas_Diarias'!$A$11:$A$610,"&lt;="&amp;'4_Dashboard_DAMABIS'!$P$6))</f>
        <v/>
      </c>
      <c r="K192" s="8">
        <f>IF($H192="","",SUMIFS('3_Ventas_Diarias'!$G$11:$G$610,'3_Ventas_Diarias'!$C$11:$C$610,$H192,'3_Ventas_Diarias'!$A$11:$A$610,"&gt;="&amp;'4_Dashboard_DAMABIS'!$P$5,'3_Ventas_Diarias'!$A$11:$A$610,"&lt;="&amp;'4_Dashboard_DAMABIS'!$P$6))</f>
        <v/>
      </c>
      <c r="L192" s="8">
        <f>IF($H192="","",SUMIFS('3_Ventas_Diarias'!$J$11:$J$610,'3_Ventas_Diarias'!$C$11:$C$610,$H192,'3_Ventas_Diarias'!$A$11:$A$610,"&gt;="&amp;'4_Dashboard_DAMABIS'!$P$5,'3_Ventas_Diarias'!$A$11:$A$610,"&lt;="&amp;'4_Dashboard_DAMABIS'!$P$6))</f>
        <v/>
      </c>
      <c r="M192" s="9">
        <f>IF($H192="","",N($K192)+ROW()/1000000)</f>
        <v/>
      </c>
    </row>
    <row r="193">
      <c r="H193" s="11">
        <f>IF('2_Control_de_Stock'!$A$200="","",'2_Control_de_Stock'!$A$200)</f>
        <v/>
      </c>
      <c r="I193" s="11">
        <f>IF('2_Control_de_Stock'!$A$200="","",'2_Control_de_Stock'!$B$200)</f>
        <v/>
      </c>
      <c r="J193" s="12">
        <f>IF($H193="","",SUMIFS('3_Ventas_Diarias'!$E$11:$E$610,'3_Ventas_Diarias'!$C$11:$C$610,$H193,'3_Ventas_Diarias'!$A$11:$A$610,"&gt;="&amp;'4_Dashboard_DAMABIS'!$P$5,'3_Ventas_Diarias'!$A$11:$A$610,"&lt;="&amp;'4_Dashboard_DAMABIS'!$P$6))</f>
        <v/>
      </c>
      <c r="K193" s="13">
        <f>IF($H193="","",SUMIFS('3_Ventas_Diarias'!$G$11:$G$610,'3_Ventas_Diarias'!$C$11:$C$610,$H193,'3_Ventas_Diarias'!$A$11:$A$610,"&gt;="&amp;'4_Dashboard_DAMABIS'!$P$5,'3_Ventas_Diarias'!$A$11:$A$610,"&lt;="&amp;'4_Dashboard_DAMABIS'!$P$6))</f>
        <v/>
      </c>
      <c r="L193" s="13">
        <f>IF($H193="","",SUMIFS('3_Ventas_Diarias'!$J$11:$J$610,'3_Ventas_Diarias'!$C$11:$C$610,$H193,'3_Ventas_Diarias'!$A$11:$A$610,"&gt;="&amp;'4_Dashboard_DAMABIS'!$P$5,'3_Ventas_Diarias'!$A$11:$A$610,"&lt;="&amp;'4_Dashboard_DAMABIS'!$P$6))</f>
        <v/>
      </c>
      <c r="M193" s="14">
        <f>IF($H193="","",N($K193)+ROW()/1000000)</f>
        <v/>
      </c>
    </row>
    <row r="194">
      <c r="H194" s="6">
        <f>IF('2_Control_de_Stock'!$A$201="","",'2_Control_de_Stock'!$A$201)</f>
        <v/>
      </c>
      <c r="I194" s="6">
        <f>IF('2_Control_de_Stock'!$A$201="","",'2_Control_de_Stock'!$B$201)</f>
        <v/>
      </c>
      <c r="J194" s="7">
        <f>IF($H194="","",SUMIFS('3_Ventas_Diarias'!$E$11:$E$610,'3_Ventas_Diarias'!$C$11:$C$610,$H194,'3_Ventas_Diarias'!$A$11:$A$610,"&gt;="&amp;'4_Dashboard_DAMABIS'!$P$5,'3_Ventas_Diarias'!$A$11:$A$610,"&lt;="&amp;'4_Dashboard_DAMABIS'!$P$6))</f>
        <v/>
      </c>
      <c r="K194" s="8">
        <f>IF($H194="","",SUMIFS('3_Ventas_Diarias'!$G$11:$G$610,'3_Ventas_Diarias'!$C$11:$C$610,$H194,'3_Ventas_Diarias'!$A$11:$A$610,"&gt;="&amp;'4_Dashboard_DAMABIS'!$P$5,'3_Ventas_Diarias'!$A$11:$A$610,"&lt;="&amp;'4_Dashboard_DAMABIS'!$P$6))</f>
        <v/>
      </c>
      <c r="L194" s="8">
        <f>IF($H194="","",SUMIFS('3_Ventas_Diarias'!$J$11:$J$610,'3_Ventas_Diarias'!$C$11:$C$610,$H194,'3_Ventas_Diarias'!$A$11:$A$610,"&gt;="&amp;'4_Dashboard_DAMABIS'!$P$5,'3_Ventas_Diarias'!$A$11:$A$610,"&lt;="&amp;'4_Dashboard_DAMABIS'!$P$6))</f>
        <v/>
      </c>
      <c r="M194" s="9">
        <f>IF($H194="","",N($K194)+ROW()/1000000)</f>
        <v/>
      </c>
    </row>
    <row r="195">
      <c r="H195" s="11">
        <f>IF('2_Control_de_Stock'!$A$202="","",'2_Control_de_Stock'!$A$202)</f>
        <v/>
      </c>
      <c r="I195" s="11">
        <f>IF('2_Control_de_Stock'!$A$202="","",'2_Control_de_Stock'!$B$202)</f>
        <v/>
      </c>
      <c r="J195" s="12">
        <f>IF($H195="","",SUMIFS('3_Ventas_Diarias'!$E$11:$E$610,'3_Ventas_Diarias'!$C$11:$C$610,$H195,'3_Ventas_Diarias'!$A$11:$A$610,"&gt;="&amp;'4_Dashboard_DAMABIS'!$P$5,'3_Ventas_Diarias'!$A$11:$A$610,"&lt;="&amp;'4_Dashboard_DAMABIS'!$P$6))</f>
        <v/>
      </c>
      <c r="K195" s="13">
        <f>IF($H195="","",SUMIFS('3_Ventas_Diarias'!$G$11:$G$610,'3_Ventas_Diarias'!$C$11:$C$610,$H195,'3_Ventas_Diarias'!$A$11:$A$610,"&gt;="&amp;'4_Dashboard_DAMABIS'!$P$5,'3_Ventas_Diarias'!$A$11:$A$610,"&lt;="&amp;'4_Dashboard_DAMABIS'!$P$6))</f>
        <v/>
      </c>
      <c r="L195" s="13">
        <f>IF($H195="","",SUMIFS('3_Ventas_Diarias'!$J$11:$J$610,'3_Ventas_Diarias'!$C$11:$C$610,$H195,'3_Ventas_Diarias'!$A$11:$A$610,"&gt;="&amp;'4_Dashboard_DAMABIS'!$P$5,'3_Ventas_Diarias'!$A$11:$A$610,"&lt;="&amp;'4_Dashboard_DAMABIS'!$P$6))</f>
        <v/>
      </c>
      <c r="M195" s="14">
        <f>IF($H195="","",N($K195)+ROW()/1000000)</f>
        <v/>
      </c>
    </row>
    <row r="196">
      <c r="H196" s="6">
        <f>IF('2_Control_de_Stock'!$A$203="","",'2_Control_de_Stock'!$A$203)</f>
        <v/>
      </c>
      <c r="I196" s="6">
        <f>IF('2_Control_de_Stock'!$A$203="","",'2_Control_de_Stock'!$B$203)</f>
        <v/>
      </c>
      <c r="J196" s="7">
        <f>IF($H196="","",SUMIFS('3_Ventas_Diarias'!$E$11:$E$610,'3_Ventas_Diarias'!$C$11:$C$610,$H196,'3_Ventas_Diarias'!$A$11:$A$610,"&gt;="&amp;'4_Dashboard_DAMABIS'!$P$5,'3_Ventas_Diarias'!$A$11:$A$610,"&lt;="&amp;'4_Dashboard_DAMABIS'!$P$6))</f>
        <v/>
      </c>
      <c r="K196" s="8">
        <f>IF($H196="","",SUMIFS('3_Ventas_Diarias'!$G$11:$G$610,'3_Ventas_Diarias'!$C$11:$C$610,$H196,'3_Ventas_Diarias'!$A$11:$A$610,"&gt;="&amp;'4_Dashboard_DAMABIS'!$P$5,'3_Ventas_Diarias'!$A$11:$A$610,"&lt;="&amp;'4_Dashboard_DAMABIS'!$P$6))</f>
        <v/>
      </c>
      <c r="L196" s="8">
        <f>IF($H196="","",SUMIFS('3_Ventas_Diarias'!$J$11:$J$610,'3_Ventas_Diarias'!$C$11:$C$610,$H196,'3_Ventas_Diarias'!$A$11:$A$610,"&gt;="&amp;'4_Dashboard_DAMABIS'!$P$5,'3_Ventas_Diarias'!$A$11:$A$610,"&lt;="&amp;'4_Dashboard_DAMABIS'!$P$6))</f>
        <v/>
      </c>
      <c r="M196" s="9">
        <f>IF($H196="","",N($K196)+ROW()/1000000)</f>
        <v/>
      </c>
    </row>
    <row r="197">
      <c r="H197" s="11">
        <f>IF('2_Control_de_Stock'!$A$204="","",'2_Control_de_Stock'!$A$204)</f>
        <v/>
      </c>
      <c r="I197" s="11">
        <f>IF('2_Control_de_Stock'!$A$204="","",'2_Control_de_Stock'!$B$204)</f>
        <v/>
      </c>
      <c r="J197" s="12">
        <f>IF($H197="","",SUMIFS('3_Ventas_Diarias'!$E$11:$E$610,'3_Ventas_Diarias'!$C$11:$C$610,$H197,'3_Ventas_Diarias'!$A$11:$A$610,"&gt;="&amp;'4_Dashboard_DAMABIS'!$P$5,'3_Ventas_Diarias'!$A$11:$A$610,"&lt;="&amp;'4_Dashboard_DAMABIS'!$P$6))</f>
        <v/>
      </c>
      <c r="K197" s="13">
        <f>IF($H197="","",SUMIFS('3_Ventas_Diarias'!$G$11:$G$610,'3_Ventas_Diarias'!$C$11:$C$610,$H197,'3_Ventas_Diarias'!$A$11:$A$610,"&gt;="&amp;'4_Dashboard_DAMABIS'!$P$5,'3_Ventas_Diarias'!$A$11:$A$610,"&lt;="&amp;'4_Dashboard_DAMABIS'!$P$6))</f>
        <v/>
      </c>
      <c r="L197" s="13">
        <f>IF($H197="","",SUMIFS('3_Ventas_Diarias'!$J$11:$J$610,'3_Ventas_Diarias'!$C$11:$C$610,$H197,'3_Ventas_Diarias'!$A$11:$A$610,"&gt;="&amp;'4_Dashboard_DAMABIS'!$P$5,'3_Ventas_Diarias'!$A$11:$A$610,"&lt;="&amp;'4_Dashboard_DAMABIS'!$P$6))</f>
        <v/>
      </c>
      <c r="M197" s="14">
        <f>IF($H197="","",N($K197)+ROW()/1000000)</f>
        <v/>
      </c>
    </row>
    <row r="198">
      <c r="H198" s="6">
        <f>IF('2_Control_de_Stock'!$A$205="","",'2_Control_de_Stock'!$A$205)</f>
        <v/>
      </c>
      <c r="I198" s="6">
        <f>IF('2_Control_de_Stock'!$A$205="","",'2_Control_de_Stock'!$B$205)</f>
        <v/>
      </c>
      <c r="J198" s="7">
        <f>IF($H198="","",SUMIFS('3_Ventas_Diarias'!$E$11:$E$610,'3_Ventas_Diarias'!$C$11:$C$610,$H198,'3_Ventas_Diarias'!$A$11:$A$610,"&gt;="&amp;'4_Dashboard_DAMABIS'!$P$5,'3_Ventas_Diarias'!$A$11:$A$610,"&lt;="&amp;'4_Dashboard_DAMABIS'!$P$6))</f>
        <v/>
      </c>
      <c r="K198" s="8">
        <f>IF($H198="","",SUMIFS('3_Ventas_Diarias'!$G$11:$G$610,'3_Ventas_Diarias'!$C$11:$C$610,$H198,'3_Ventas_Diarias'!$A$11:$A$610,"&gt;="&amp;'4_Dashboard_DAMABIS'!$P$5,'3_Ventas_Diarias'!$A$11:$A$610,"&lt;="&amp;'4_Dashboard_DAMABIS'!$P$6))</f>
        <v/>
      </c>
      <c r="L198" s="8">
        <f>IF($H198="","",SUMIFS('3_Ventas_Diarias'!$J$11:$J$610,'3_Ventas_Diarias'!$C$11:$C$610,$H198,'3_Ventas_Diarias'!$A$11:$A$610,"&gt;="&amp;'4_Dashboard_DAMABIS'!$P$5,'3_Ventas_Diarias'!$A$11:$A$610,"&lt;="&amp;'4_Dashboard_DAMABIS'!$P$6))</f>
        <v/>
      </c>
      <c r="M198" s="9">
        <f>IF($H198="","",N($K198)+ROW()/1000000)</f>
        <v/>
      </c>
    </row>
    <row r="199">
      <c r="H199" s="11">
        <f>IF('2_Control_de_Stock'!$A$206="","",'2_Control_de_Stock'!$A$206)</f>
        <v/>
      </c>
      <c r="I199" s="11">
        <f>IF('2_Control_de_Stock'!$A$206="","",'2_Control_de_Stock'!$B$206)</f>
        <v/>
      </c>
      <c r="J199" s="12">
        <f>IF($H199="","",SUMIFS('3_Ventas_Diarias'!$E$11:$E$610,'3_Ventas_Diarias'!$C$11:$C$610,$H199,'3_Ventas_Diarias'!$A$11:$A$610,"&gt;="&amp;'4_Dashboard_DAMABIS'!$P$5,'3_Ventas_Diarias'!$A$11:$A$610,"&lt;="&amp;'4_Dashboard_DAMABIS'!$P$6))</f>
        <v/>
      </c>
      <c r="K199" s="13">
        <f>IF($H199="","",SUMIFS('3_Ventas_Diarias'!$G$11:$G$610,'3_Ventas_Diarias'!$C$11:$C$610,$H199,'3_Ventas_Diarias'!$A$11:$A$610,"&gt;="&amp;'4_Dashboard_DAMABIS'!$P$5,'3_Ventas_Diarias'!$A$11:$A$610,"&lt;="&amp;'4_Dashboard_DAMABIS'!$P$6))</f>
        <v/>
      </c>
      <c r="L199" s="13">
        <f>IF($H199="","",SUMIFS('3_Ventas_Diarias'!$J$11:$J$610,'3_Ventas_Diarias'!$C$11:$C$610,$H199,'3_Ventas_Diarias'!$A$11:$A$610,"&gt;="&amp;'4_Dashboard_DAMABIS'!$P$5,'3_Ventas_Diarias'!$A$11:$A$610,"&lt;="&amp;'4_Dashboard_DAMABIS'!$P$6))</f>
        <v/>
      </c>
      <c r="M199" s="14">
        <f>IF($H199="","",N($K199)+ROW()/1000000)</f>
        <v/>
      </c>
    </row>
    <row r="200">
      <c r="H200" s="6">
        <f>IF('2_Control_de_Stock'!$A$207="","",'2_Control_de_Stock'!$A$207)</f>
        <v/>
      </c>
      <c r="I200" s="6">
        <f>IF('2_Control_de_Stock'!$A$207="","",'2_Control_de_Stock'!$B$207)</f>
        <v/>
      </c>
      <c r="J200" s="7">
        <f>IF($H200="","",SUMIFS('3_Ventas_Diarias'!$E$11:$E$610,'3_Ventas_Diarias'!$C$11:$C$610,$H200,'3_Ventas_Diarias'!$A$11:$A$610,"&gt;="&amp;'4_Dashboard_DAMABIS'!$P$5,'3_Ventas_Diarias'!$A$11:$A$610,"&lt;="&amp;'4_Dashboard_DAMABIS'!$P$6))</f>
        <v/>
      </c>
      <c r="K200" s="8">
        <f>IF($H200="","",SUMIFS('3_Ventas_Diarias'!$G$11:$G$610,'3_Ventas_Diarias'!$C$11:$C$610,$H200,'3_Ventas_Diarias'!$A$11:$A$610,"&gt;="&amp;'4_Dashboard_DAMABIS'!$P$5,'3_Ventas_Diarias'!$A$11:$A$610,"&lt;="&amp;'4_Dashboard_DAMABIS'!$P$6))</f>
        <v/>
      </c>
      <c r="L200" s="8">
        <f>IF($H200="","",SUMIFS('3_Ventas_Diarias'!$J$11:$J$610,'3_Ventas_Diarias'!$C$11:$C$610,$H200,'3_Ventas_Diarias'!$A$11:$A$610,"&gt;="&amp;'4_Dashboard_DAMABIS'!$P$5,'3_Ventas_Diarias'!$A$11:$A$610,"&lt;="&amp;'4_Dashboard_DAMABIS'!$P$6))</f>
        <v/>
      </c>
      <c r="M200" s="9">
        <f>IF($H200="","",N($K200)+ROW()/1000000)</f>
        <v/>
      </c>
    </row>
    <row r="201">
      <c r="H201" s="11">
        <f>IF('2_Control_de_Stock'!$A$208="","",'2_Control_de_Stock'!$A$208)</f>
        <v/>
      </c>
      <c r="I201" s="11">
        <f>IF('2_Control_de_Stock'!$A$208="","",'2_Control_de_Stock'!$B$208)</f>
        <v/>
      </c>
      <c r="J201" s="12">
        <f>IF($H201="","",SUMIFS('3_Ventas_Diarias'!$E$11:$E$610,'3_Ventas_Diarias'!$C$11:$C$610,$H201,'3_Ventas_Diarias'!$A$11:$A$610,"&gt;="&amp;'4_Dashboard_DAMABIS'!$P$5,'3_Ventas_Diarias'!$A$11:$A$610,"&lt;="&amp;'4_Dashboard_DAMABIS'!$P$6))</f>
        <v/>
      </c>
      <c r="K201" s="13">
        <f>IF($H201="","",SUMIFS('3_Ventas_Diarias'!$G$11:$G$610,'3_Ventas_Diarias'!$C$11:$C$610,$H201,'3_Ventas_Diarias'!$A$11:$A$610,"&gt;="&amp;'4_Dashboard_DAMABIS'!$P$5,'3_Ventas_Diarias'!$A$11:$A$610,"&lt;="&amp;'4_Dashboard_DAMABIS'!$P$6))</f>
        <v/>
      </c>
      <c r="L201" s="13">
        <f>IF($H201="","",SUMIFS('3_Ventas_Diarias'!$J$11:$J$610,'3_Ventas_Diarias'!$C$11:$C$610,$H201,'3_Ventas_Diarias'!$A$11:$A$610,"&gt;="&amp;'4_Dashboard_DAMABIS'!$P$5,'3_Ventas_Diarias'!$A$11:$A$610,"&lt;="&amp;'4_Dashboard_DAMABIS'!$P$6))</f>
        <v/>
      </c>
      <c r="M201" s="14">
        <f>IF($H201="","",N($K201)+ROW()/1000000)</f>
        <v/>
      </c>
    </row>
    <row r="202">
      <c r="H202" s="6">
        <f>IF('2_Control_de_Stock'!$A$209="","",'2_Control_de_Stock'!$A$209)</f>
        <v/>
      </c>
      <c r="I202" s="6">
        <f>IF('2_Control_de_Stock'!$A$209="","",'2_Control_de_Stock'!$B$209)</f>
        <v/>
      </c>
      <c r="J202" s="7">
        <f>IF($H202="","",SUMIFS('3_Ventas_Diarias'!$E$11:$E$610,'3_Ventas_Diarias'!$C$11:$C$610,$H202,'3_Ventas_Diarias'!$A$11:$A$610,"&gt;="&amp;'4_Dashboard_DAMABIS'!$P$5,'3_Ventas_Diarias'!$A$11:$A$610,"&lt;="&amp;'4_Dashboard_DAMABIS'!$P$6))</f>
        <v/>
      </c>
      <c r="K202" s="8">
        <f>IF($H202="","",SUMIFS('3_Ventas_Diarias'!$G$11:$G$610,'3_Ventas_Diarias'!$C$11:$C$610,$H202,'3_Ventas_Diarias'!$A$11:$A$610,"&gt;="&amp;'4_Dashboard_DAMABIS'!$P$5,'3_Ventas_Diarias'!$A$11:$A$610,"&lt;="&amp;'4_Dashboard_DAMABIS'!$P$6))</f>
        <v/>
      </c>
      <c r="L202" s="8">
        <f>IF($H202="","",SUMIFS('3_Ventas_Diarias'!$J$11:$J$610,'3_Ventas_Diarias'!$C$11:$C$610,$H202,'3_Ventas_Diarias'!$A$11:$A$610,"&gt;="&amp;'4_Dashboard_DAMABIS'!$P$5,'3_Ventas_Diarias'!$A$11:$A$610,"&lt;="&amp;'4_Dashboard_DAMABIS'!$P$6))</f>
        <v/>
      </c>
      <c r="M202" s="9">
        <f>IF($H202="","",N($K202)+ROW()/1000000)</f>
        <v/>
      </c>
    </row>
    <row r="203">
      <c r="H203" s="11">
        <f>IF('2_Control_de_Stock'!$A$210="","",'2_Control_de_Stock'!$A$210)</f>
        <v/>
      </c>
      <c r="I203" s="11">
        <f>IF('2_Control_de_Stock'!$A$210="","",'2_Control_de_Stock'!$B$210)</f>
        <v/>
      </c>
      <c r="J203" s="12">
        <f>IF($H203="","",SUMIFS('3_Ventas_Diarias'!$E$11:$E$610,'3_Ventas_Diarias'!$C$11:$C$610,$H203,'3_Ventas_Diarias'!$A$11:$A$610,"&gt;="&amp;'4_Dashboard_DAMABIS'!$P$5,'3_Ventas_Diarias'!$A$11:$A$610,"&lt;="&amp;'4_Dashboard_DAMABIS'!$P$6))</f>
        <v/>
      </c>
      <c r="K203" s="13">
        <f>IF($H203="","",SUMIFS('3_Ventas_Diarias'!$G$11:$G$610,'3_Ventas_Diarias'!$C$11:$C$610,$H203,'3_Ventas_Diarias'!$A$11:$A$610,"&gt;="&amp;'4_Dashboard_DAMABIS'!$P$5,'3_Ventas_Diarias'!$A$11:$A$610,"&lt;="&amp;'4_Dashboard_DAMABIS'!$P$6))</f>
        <v/>
      </c>
      <c r="L203" s="13">
        <f>IF($H203="","",SUMIFS('3_Ventas_Diarias'!$J$11:$J$610,'3_Ventas_Diarias'!$C$11:$C$610,$H203,'3_Ventas_Diarias'!$A$11:$A$610,"&gt;="&amp;'4_Dashboard_DAMABIS'!$P$5,'3_Ventas_Diarias'!$A$11:$A$610,"&lt;="&amp;'4_Dashboard_DAMABIS'!$P$6))</f>
        <v/>
      </c>
      <c r="M203" s="14">
        <f>IF($H203="","",N($K203)+ROW()/1000000)</f>
        <v/>
      </c>
    </row>
  </sheetData>
  <mergeCells count="2">
    <mergeCell ref="H1:M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9D"/>
    <outlinePr summaryBelow="1" summaryRight="1"/>
    <pageSetUpPr fitToPage="1"/>
  </sheetPr>
  <dimension ref="A1:I5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4" customWidth="1" min="4" max="4"/>
    <col width="38" customWidth="1" min="5" max="5"/>
    <col width="20" customWidth="1" min="6" max="6"/>
    <col width="13" customWidth="1" min="7" max="7"/>
    <col width="14" customWidth="1" min="8" max="8"/>
    <col width="15" customWidth="1" min="9" max="9"/>
  </cols>
  <sheetData>
    <row r="1" ht="20" customHeight="1">
      <c r="A1" s="15" t="inlineStr">
        <is>
          <t xml:space="preserve">   DAMABIS · Compras e Inventario Inicial
   Registro de mercancía ingresada · Librería y Útiles Escolares</t>
        </is>
      </c>
    </row>
    <row r="2" ht="22" customHeight="1"/>
    <row r="3" ht="22" customHeight="1"/>
    <row r="4" ht="20" customHeight="1"/>
    <row r="5" ht="6" customHeight="1"/>
    <row r="6" ht="18" customHeight="1">
      <c r="A6" s="16" t="inlineStr">
        <is>
          <t>💰 GASTO TOTAL EN COMPRAS</t>
        </is>
      </c>
      <c r="B6" s="17" t="n"/>
      <c r="C6" s="16" t="inlineStr">
        <is>
          <t>📦 UNIDADES INGRESADAS</t>
        </is>
      </c>
      <c r="D6" s="17" t="n"/>
      <c r="E6" s="16" t="inlineStr">
        <is>
          <t>🧾 N° DE TRANSACCIONES</t>
        </is>
      </c>
      <c r="F6" s="17" t="n"/>
      <c r="G6" s="16" t="inlineStr">
        <is>
          <t>🏭 PROVEEDORES</t>
        </is>
      </c>
      <c r="H6" s="16" t="inlineStr">
        <is>
          <t>📊 COSTO UNIT. PROMEDIO</t>
        </is>
      </c>
      <c r="I6" s="17" t="n"/>
    </row>
    <row r="7" ht="14" customHeight="1">
      <c r="A7" s="18">
        <f>SUM(I11:I510)</f>
        <v/>
      </c>
      <c r="B7" s="17" t="n"/>
      <c r="C7" s="19">
        <f>SUM(G11:G510)</f>
        <v/>
      </c>
      <c r="D7" s="17" t="n"/>
      <c r="E7" s="19">
        <f>SUMPRODUCT((B11:B510&lt;&gt;"")/COUNTIF(B11:B510,B11:B510&amp;""))</f>
        <v/>
      </c>
      <c r="F7" s="17" t="n"/>
      <c r="G7" s="19">
        <f>SUMPRODUCT((C11:C510&lt;&gt;"")/COUNTIF(C11:C510,C11:C510&amp;""))</f>
        <v/>
      </c>
      <c r="H7" s="18">
        <f>IFERROR(SUM(I11:I510)/SUM(G11:G510),0)</f>
        <v/>
      </c>
      <c r="I7" s="17" t="n"/>
    </row>
    <row r="8" ht="16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 ht="16" customHeight="1">
      <c r="A9" s="20" t="inlineStr">
        <is>
          <t xml:space="preserve">   ✏️ Celdas en AZUL = captura manual.  Celdas en NEGRO = fórmula automática (no escribir).  Usa las listas desplegables en Proveedor, SKU y Categoría.</t>
        </is>
      </c>
    </row>
    <row r="10" ht="34" customHeight="1">
      <c r="A10" s="4" t="inlineStr">
        <is>
          <t>Fecha</t>
        </is>
      </c>
      <c r="B10" s="4" t="inlineStr">
        <is>
          <t>ID Transacción</t>
        </is>
      </c>
      <c r="C10" s="4" t="inlineStr">
        <is>
          <t>Proveedor</t>
        </is>
      </c>
      <c r="D10" s="4" t="inlineStr">
        <is>
          <t>Código/SKU</t>
        </is>
      </c>
      <c r="E10" s="4" t="inlineStr">
        <is>
          <t>Descripción del Producto</t>
        </is>
      </c>
      <c r="F10" s="4" t="inlineStr">
        <is>
          <t>Categoría</t>
        </is>
      </c>
      <c r="G10" s="4" t="inlineStr">
        <is>
          <t>Cantidad Comprada</t>
        </is>
      </c>
      <c r="H10" s="4" t="inlineStr">
        <is>
          <t>Costo Unitario</t>
        </is>
      </c>
      <c r="I10" s="4" t="inlineStr">
        <is>
          <t>Costo Total</t>
        </is>
      </c>
    </row>
    <row r="11">
      <c r="A11" s="21" t="n">
        <v>46236</v>
      </c>
      <c r="B11" s="22" t="inlineStr">
        <is>
          <t>C-2026-001</t>
        </is>
      </c>
      <c r="C11" s="23" t="inlineStr">
        <is>
          <t>Distribuidora Lima Papel SAC</t>
        </is>
      </c>
      <c r="D11" s="22" t="inlineStr">
        <is>
          <t>PAP-001</t>
        </is>
      </c>
      <c r="E11" s="23" t="inlineStr">
        <is>
          <t>Papel Bond A4 75g (millar)</t>
        </is>
      </c>
      <c r="F11" s="22" t="inlineStr">
        <is>
          <t>Papelería</t>
        </is>
      </c>
      <c r="G11" s="24" t="n">
        <v>30</v>
      </c>
      <c r="H11" s="25" t="n">
        <v>13.5</v>
      </c>
      <c r="I11" s="26">
        <f>IF(OR($G11="",$H11=""),"",$G11*$H11)</f>
        <v/>
      </c>
    </row>
    <row r="12">
      <c r="A12" s="21" t="n">
        <v>46236</v>
      </c>
      <c r="B12" s="22" t="inlineStr">
        <is>
          <t>C-2026-001</t>
        </is>
      </c>
      <c r="C12" s="23" t="inlineStr">
        <is>
          <t>Distribuidora Lima Papel SAC</t>
        </is>
      </c>
      <c r="D12" s="22" t="inlineStr">
        <is>
          <t>CUA-010</t>
        </is>
      </c>
      <c r="E12" s="23" t="inlineStr">
        <is>
          <t>Cuaderno A4 cuadriculado 100h</t>
        </is>
      </c>
      <c r="F12" s="22" t="inlineStr">
        <is>
          <t>Cuadernos</t>
        </is>
      </c>
      <c r="G12" s="24" t="n">
        <v>120</v>
      </c>
      <c r="H12" s="25" t="n">
        <v>4.2</v>
      </c>
      <c r="I12" s="26">
        <f>IF(OR($G12="",$H12=""),"",$G12*$H12)</f>
        <v/>
      </c>
    </row>
    <row r="13">
      <c r="A13" s="21" t="n">
        <v>46237</v>
      </c>
      <c r="B13" s="22" t="inlineStr">
        <is>
          <t>C-2026-002</t>
        </is>
      </c>
      <c r="C13" s="23" t="inlineStr">
        <is>
          <t>Importadora Kawaii Perú EIRL</t>
        </is>
      </c>
      <c r="D13" s="22" t="inlineStr">
        <is>
          <t>KAW-101</t>
        </is>
      </c>
      <c r="E13" s="23" t="inlineStr">
        <is>
          <t>Set stickers ajolote kawaii</t>
        </is>
      </c>
      <c r="F13" s="22" t="inlineStr">
        <is>
          <t>Kawaii/Escolar</t>
        </is>
      </c>
      <c r="G13" s="24" t="n">
        <v>200</v>
      </c>
      <c r="H13" s="25" t="n">
        <v>2.1</v>
      </c>
      <c r="I13" s="26">
        <f>IF(OR($G13="",$H13=""),"",$G13*$H13)</f>
        <v/>
      </c>
    </row>
    <row r="14">
      <c r="A14" s="21" t="n">
        <v>46237</v>
      </c>
      <c r="B14" s="22" t="inlineStr">
        <is>
          <t>C-2026-002</t>
        </is>
      </c>
      <c r="C14" s="23" t="inlineStr">
        <is>
          <t>Importadora Kawaii Perú EIRL</t>
        </is>
      </c>
      <c r="D14" s="22" t="inlineStr">
        <is>
          <t>KAW-102</t>
        </is>
      </c>
      <c r="E14" s="23" t="inlineStr">
        <is>
          <t>Lapicero gel pastel x6</t>
        </is>
      </c>
      <c r="F14" s="22" t="inlineStr">
        <is>
          <t>Kawaii/Escolar</t>
        </is>
      </c>
      <c r="G14" s="24" t="n">
        <v>150</v>
      </c>
      <c r="H14" s="25" t="n">
        <v>5.4</v>
      </c>
      <c r="I14" s="26">
        <f>IF(OR($G14="",$H14=""),"",$G14*$H14)</f>
        <v/>
      </c>
    </row>
    <row r="15">
      <c r="A15" s="21" t="n">
        <v>46239</v>
      </c>
      <c r="B15" s="22" t="inlineStr">
        <is>
          <t>C-2026-003</t>
        </is>
      </c>
      <c r="C15" s="23" t="inlineStr">
        <is>
          <t>Editorial Andina SAC</t>
        </is>
      </c>
      <c r="D15" s="22" t="inlineStr">
        <is>
          <t>LIB-201</t>
        </is>
      </c>
      <c r="E15" s="23" t="inlineStr">
        <is>
          <t>Libro infantil ilustrado</t>
        </is>
      </c>
      <c r="F15" s="22" t="inlineStr">
        <is>
          <t>Libros</t>
        </is>
      </c>
      <c r="G15" s="24" t="n">
        <v>60</v>
      </c>
      <c r="H15" s="25" t="n">
        <v>18</v>
      </c>
      <c r="I15" s="26">
        <f>IF(OR($G15="",$H15=""),"",$G15*$H15)</f>
        <v/>
      </c>
    </row>
    <row r="16">
      <c r="A16" s="21" t="n">
        <v>46239</v>
      </c>
      <c r="B16" s="22" t="inlineStr">
        <is>
          <t>C-2026-003</t>
        </is>
      </c>
      <c r="C16" s="23" t="inlineStr">
        <is>
          <t>Editorial Andina SAC</t>
        </is>
      </c>
      <c r="D16" s="22" t="inlineStr">
        <is>
          <t>LIB-202</t>
        </is>
      </c>
      <c r="E16" s="23" t="inlineStr">
        <is>
          <t>Diccionario escolar</t>
        </is>
      </c>
      <c r="F16" s="22" t="inlineStr">
        <is>
          <t>Libros</t>
        </is>
      </c>
      <c r="G16" s="24" t="n">
        <v>25</v>
      </c>
      <c r="H16" s="25" t="n">
        <v>22</v>
      </c>
      <c r="I16" s="26">
        <f>IF(OR($G16="",$H16=""),"",$G16*$H16)</f>
        <v/>
      </c>
    </row>
    <row r="17">
      <c r="A17" s="21" t="n">
        <v>46242</v>
      </c>
      <c r="B17" s="22" t="inlineStr">
        <is>
          <t>C-2026-004</t>
        </is>
      </c>
      <c r="C17" s="23" t="inlineStr">
        <is>
          <t>Arte &amp; Color Distribuciones</t>
        </is>
      </c>
      <c r="D17" s="22" t="inlineStr">
        <is>
          <t>ART-301</t>
        </is>
      </c>
      <c r="E17" s="23" t="inlineStr">
        <is>
          <t>Témpera 12 colores</t>
        </is>
      </c>
      <c r="F17" s="22" t="inlineStr">
        <is>
          <t>Arte</t>
        </is>
      </c>
      <c r="G17" s="24" t="n">
        <v>80</v>
      </c>
      <c r="H17" s="25" t="n">
        <v>7.8</v>
      </c>
      <c r="I17" s="26">
        <f>IF(OR($G17="",$H17=""),"",$G17*$H17)</f>
        <v/>
      </c>
    </row>
    <row r="18">
      <c r="A18" s="21" t="n">
        <v>46242</v>
      </c>
      <c r="B18" s="22" t="inlineStr">
        <is>
          <t>C-2026-004</t>
        </is>
      </c>
      <c r="C18" s="23" t="inlineStr">
        <is>
          <t>Arte &amp; Color Distribuciones</t>
        </is>
      </c>
      <c r="D18" s="22" t="inlineStr">
        <is>
          <t>ART-302</t>
        </is>
      </c>
      <c r="E18" s="23" t="inlineStr">
        <is>
          <t>Block de dibujo A3</t>
        </is>
      </c>
      <c r="F18" s="22" t="inlineStr">
        <is>
          <t>Arte</t>
        </is>
      </c>
      <c r="G18" s="24" t="n">
        <v>90</v>
      </c>
      <c r="H18" s="25" t="n">
        <v>6.3</v>
      </c>
      <c r="I18" s="26">
        <f>IF(OR($G18="",$H18=""),"",$G18*$H18)</f>
        <v/>
      </c>
    </row>
    <row r="19">
      <c r="A19" s="21" t="n">
        <v>46244</v>
      </c>
      <c r="B19" s="22" t="inlineStr">
        <is>
          <t>C-2026-005</t>
        </is>
      </c>
      <c r="C19" s="23" t="inlineStr">
        <is>
          <t>Faber Perú SA</t>
        </is>
      </c>
      <c r="D19" s="22" t="inlineStr">
        <is>
          <t>ESC-401</t>
        </is>
      </c>
      <c r="E19" s="23" t="inlineStr">
        <is>
          <t>Colores x24 largos</t>
        </is>
      </c>
      <c r="F19" s="22" t="inlineStr">
        <is>
          <t>Escritura</t>
        </is>
      </c>
      <c r="G19" s="24" t="n">
        <v>100</v>
      </c>
      <c r="H19" s="25" t="n">
        <v>11.5</v>
      </c>
      <c r="I19" s="26">
        <f>IF(OR($G19="",$H19=""),"",$G19*$H19)</f>
        <v/>
      </c>
    </row>
    <row r="20">
      <c r="A20" s="21" t="n">
        <v>46244</v>
      </c>
      <c r="B20" s="22" t="inlineStr">
        <is>
          <t>C-2026-005</t>
        </is>
      </c>
      <c r="C20" s="23" t="inlineStr">
        <is>
          <t>Faber Perú SA</t>
        </is>
      </c>
      <c r="D20" s="22" t="inlineStr">
        <is>
          <t>ESC-402</t>
        </is>
      </c>
      <c r="E20" s="23" t="inlineStr">
        <is>
          <t>Plumón resaltador pastel x4</t>
        </is>
      </c>
      <c r="F20" s="22" t="inlineStr">
        <is>
          <t>Escritura</t>
        </is>
      </c>
      <c r="G20" s="24" t="n">
        <v>140</v>
      </c>
      <c r="H20" s="25" t="n">
        <v>4.9</v>
      </c>
      <c r="I20" s="26">
        <f>IF(OR($G20="",$H20=""),"",$G20*$H20)</f>
        <v/>
      </c>
    </row>
    <row r="21">
      <c r="A21" s="21" t="n">
        <v>46246</v>
      </c>
      <c r="B21" s="22" t="inlineStr">
        <is>
          <t>C-2026-006</t>
        </is>
      </c>
      <c r="C21" s="23" t="inlineStr">
        <is>
          <t>Mayorista Mesa Redonda</t>
        </is>
      </c>
      <c r="D21" s="22" t="inlineStr">
        <is>
          <t>MOC-501</t>
        </is>
      </c>
      <c r="E21" s="23" t="inlineStr">
        <is>
          <t>Mochila escolar estampada</t>
        </is>
      </c>
      <c r="F21" s="22" t="inlineStr">
        <is>
          <t>Mochilas y Loncheras</t>
        </is>
      </c>
      <c r="G21" s="24" t="n">
        <v>8</v>
      </c>
      <c r="H21" s="25" t="n">
        <v>32</v>
      </c>
      <c r="I21" s="26">
        <f>IF(OR($G21="",$H21=""),"",$G21*$H21)</f>
        <v/>
      </c>
    </row>
    <row r="22">
      <c r="A22" s="21" t="n">
        <v>46246</v>
      </c>
      <c r="B22" s="22" t="inlineStr">
        <is>
          <t>C-2026-006</t>
        </is>
      </c>
      <c r="C22" s="23" t="inlineStr">
        <is>
          <t>Mayorista Mesa Redonda</t>
        </is>
      </c>
      <c r="D22" s="22" t="inlineStr">
        <is>
          <t>MOC-502</t>
        </is>
      </c>
      <c r="E22" s="23" t="inlineStr">
        <is>
          <t>Lonchera térmica kawaii</t>
        </is>
      </c>
      <c r="F22" s="22" t="inlineStr">
        <is>
          <t>Mochilas y Loncheras</t>
        </is>
      </c>
      <c r="G22" s="24" t="n">
        <v>10</v>
      </c>
      <c r="H22" s="25" t="n">
        <v>21</v>
      </c>
      <c r="I22" s="26">
        <f>IF(OR($G22="",$H22=""),"",$G22*$H22)</f>
        <v/>
      </c>
    </row>
    <row r="23">
      <c r="A23" s="21" t="n">
        <v>46249</v>
      </c>
      <c r="B23" s="22" t="inlineStr">
        <is>
          <t>C-2026-007</t>
        </is>
      </c>
      <c r="C23" s="23" t="inlineStr">
        <is>
          <t>Distribuidora Lima Papel SAC</t>
        </is>
      </c>
      <c r="D23" s="22" t="inlineStr">
        <is>
          <t>PAP-002</t>
        </is>
      </c>
      <c r="E23" s="23" t="inlineStr">
        <is>
          <t>Cartulina de colores (pliego)</t>
        </is>
      </c>
      <c r="F23" s="22" t="inlineStr">
        <is>
          <t>Papelería</t>
        </is>
      </c>
      <c r="G23" s="24" t="n">
        <v>300</v>
      </c>
      <c r="H23" s="25" t="n">
        <v>0.8</v>
      </c>
      <c r="I23" s="26">
        <f>IF(OR($G23="",$H23=""),"",$G23*$H23)</f>
        <v/>
      </c>
    </row>
    <row r="24">
      <c r="A24" s="21" t="n">
        <v>46249</v>
      </c>
      <c r="B24" s="22" t="inlineStr">
        <is>
          <t>C-2026-007</t>
        </is>
      </c>
      <c r="C24" s="23" t="inlineStr">
        <is>
          <t>Distribuidora Lima Papel SAC</t>
        </is>
      </c>
      <c r="D24" s="22" t="inlineStr">
        <is>
          <t>OFI-601</t>
        </is>
      </c>
      <c r="E24" s="23" t="inlineStr">
        <is>
          <t>Archivador palanca A4</t>
        </is>
      </c>
      <c r="F24" s="22" t="inlineStr">
        <is>
          <t>Oficina</t>
        </is>
      </c>
      <c r="G24" s="24" t="n">
        <v>60</v>
      </c>
      <c r="H24" s="25" t="n">
        <v>9.199999999999999</v>
      </c>
      <c r="I24" s="26">
        <f>IF(OR($G24="",$H24=""),"",$G24*$H24)</f>
        <v/>
      </c>
    </row>
    <row r="25">
      <c r="A25" s="21" t="n">
        <v>46252</v>
      </c>
      <c r="B25" s="22" t="inlineStr">
        <is>
          <t>C-2026-008</t>
        </is>
      </c>
      <c r="C25" s="23" t="inlineStr">
        <is>
          <t>Importadora Kawaii Perú EIRL</t>
        </is>
      </c>
      <c r="D25" s="22" t="inlineStr">
        <is>
          <t>KAW-103</t>
        </is>
      </c>
      <c r="E25" s="23" t="inlineStr">
        <is>
          <t>Peluche llavero ajolote</t>
        </is>
      </c>
      <c r="F25" s="22" t="inlineStr">
        <is>
          <t>Kawaii/Escolar</t>
        </is>
      </c>
      <c r="G25" s="24" t="n">
        <v>90</v>
      </c>
      <c r="H25" s="25" t="n">
        <v>8.6</v>
      </c>
      <c r="I25" s="26">
        <f>IF(OR($G25="",$H25=""),"",$G25*$H25)</f>
        <v/>
      </c>
    </row>
    <row r="26">
      <c r="A26" s="21" t="n">
        <v>46254</v>
      </c>
      <c r="B26" s="22" t="inlineStr">
        <is>
          <t>C-2026-009</t>
        </is>
      </c>
      <c r="C26" s="23" t="inlineStr">
        <is>
          <t>Arte &amp; Color Distribuciones</t>
        </is>
      </c>
      <c r="D26" s="22" t="inlineStr">
        <is>
          <t>MAN-701</t>
        </is>
      </c>
      <c r="E26" s="23" t="inlineStr">
        <is>
          <t>Set de foamy glitter x10</t>
        </is>
      </c>
      <c r="F26" s="22" t="inlineStr">
        <is>
          <t>Manualidades</t>
        </is>
      </c>
      <c r="G26" s="24" t="n">
        <v>70</v>
      </c>
      <c r="H26" s="25" t="n">
        <v>5.7</v>
      </c>
      <c r="I26" s="26">
        <f>IF(OR($G26="",$H26=""),"",$G26*$H26)</f>
        <v/>
      </c>
    </row>
    <row r="27">
      <c r="A27" s="21" t="n">
        <v>46256</v>
      </c>
      <c r="B27" s="22" t="inlineStr">
        <is>
          <t>C-2026-010</t>
        </is>
      </c>
      <c r="C27" s="23" t="inlineStr">
        <is>
          <t>Mayorista Mesa Redonda</t>
        </is>
      </c>
      <c r="D27" s="22" t="inlineStr">
        <is>
          <t>TEC-801</t>
        </is>
      </c>
      <c r="E27" s="23" t="inlineStr">
        <is>
          <t>Calculadora científica</t>
        </is>
      </c>
      <c r="F27" s="22" t="inlineStr">
        <is>
          <t>Tecnología</t>
        </is>
      </c>
      <c r="G27" s="24" t="n">
        <v>4</v>
      </c>
      <c r="H27" s="25" t="n">
        <v>27</v>
      </c>
      <c r="I27" s="26">
        <f>IF(OR($G27="",$H27=""),"",$G27*$H27)</f>
        <v/>
      </c>
    </row>
    <row r="28">
      <c r="A28" s="21" t="n">
        <v>46259</v>
      </c>
      <c r="B28" s="22" t="inlineStr">
        <is>
          <t>C-2026-011</t>
        </is>
      </c>
      <c r="C28" s="23" t="inlineStr">
        <is>
          <t>Faber Perú SA</t>
        </is>
      </c>
      <c r="D28" s="22" t="inlineStr">
        <is>
          <t>ESC-403</t>
        </is>
      </c>
      <c r="E28" s="23" t="inlineStr">
        <is>
          <t>Lápiz 2B caja x12</t>
        </is>
      </c>
      <c r="F28" s="22" t="inlineStr">
        <is>
          <t>Escritura</t>
        </is>
      </c>
      <c r="G28" s="24" t="n">
        <v>110</v>
      </c>
      <c r="H28" s="25" t="n">
        <v>6.4</v>
      </c>
      <c r="I28" s="26">
        <f>IF(OR($G28="",$H28=""),"",$G28*$H28)</f>
        <v/>
      </c>
    </row>
    <row r="29">
      <c r="A29" s="21" t="n">
        <v>46262</v>
      </c>
      <c r="B29" s="22" t="inlineStr">
        <is>
          <t>C-2026-012</t>
        </is>
      </c>
      <c r="C29" s="23" t="inlineStr">
        <is>
          <t>Editorial Andina SAC</t>
        </is>
      </c>
      <c r="D29" s="22" t="inlineStr">
        <is>
          <t>LIB-203</t>
        </is>
      </c>
      <c r="E29" s="23" t="inlineStr">
        <is>
          <t>Plan lector secundaria</t>
        </is>
      </c>
      <c r="F29" s="22" t="inlineStr">
        <is>
          <t>Libros</t>
        </is>
      </c>
      <c r="G29" s="24" t="n">
        <v>45</v>
      </c>
      <c r="H29" s="25" t="n">
        <v>16.5</v>
      </c>
      <c r="I29" s="26">
        <f>IF(OR($G29="",$H29=""),"",$G29*$H29)</f>
        <v/>
      </c>
    </row>
    <row r="30">
      <c r="A30" s="21" t="n">
        <v>46266</v>
      </c>
      <c r="B30" s="22" t="inlineStr">
        <is>
          <t>C-2026-013</t>
        </is>
      </c>
      <c r="C30" s="23" t="inlineStr">
        <is>
          <t>Distribuidora Lima Papel SAC</t>
        </is>
      </c>
      <c r="D30" s="22" t="inlineStr">
        <is>
          <t>CUA-011</t>
        </is>
      </c>
      <c r="E30" s="23" t="inlineStr">
        <is>
          <t>Cuaderno anillado A5 80h</t>
        </is>
      </c>
      <c r="F30" s="22" t="inlineStr">
        <is>
          <t>Cuadernos</t>
        </is>
      </c>
      <c r="G30" s="24" t="n">
        <v>130</v>
      </c>
      <c r="H30" s="25" t="n">
        <v>3.9</v>
      </c>
      <c r="I30" s="26">
        <f>IF(OR($G30="",$H30=""),"",$G30*$H30)</f>
        <v/>
      </c>
    </row>
    <row r="31">
      <c r="A31" s="21" t="n"/>
      <c r="B31" s="22" t="n"/>
      <c r="C31" s="23" t="n"/>
      <c r="D31" s="22" t="n"/>
      <c r="E31" s="23" t="n"/>
      <c r="F31" s="22" t="n"/>
      <c r="G31" s="24" t="n"/>
      <c r="H31" s="25" t="n"/>
      <c r="I31" s="26">
        <f>IF(OR($G31="",$H31=""),"",$G31*$H31)</f>
        <v/>
      </c>
    </row>
    <row r="32">
      <c r="A32" s="21" t="n"/>
      <c r="B32" s="22" t="n"/>
      <c r="C32" s="23" t="n"/>
      <c r="D32" s="22" t="n"/>
      <c r="E32" s="23" t="n"/>
      <c r="F32" s="22" t="n"/>
      <c r="G32" s="24" t="n"/>
      <c r="H32" s="25" t="n"/>
      <c r="I32" s="26">
        <f>IF(OR($G32="",$H32=""),"",$G32*$H32)</f>
        <v/>
      </c>
    </row>
    <row r="33">
      <c r="A33" s="21" t="n"/>
      <c r="B33" s="22" t="n"/>
      <c r="C33" s="23" t="n"/>
      <c r="D33" s="22" t="n"/>
      <c r="E33" s="23" t="n"/>
      <c r="F33" s="22" t="n"/>
      <c r="G33" s="24" t="n"/>
      <c r="H33" s="25" t="n"/>
      <c r="I33" s="26">
        <f>IF(OR($G33="",$H33=""),"",$G33*$H33)</f>
        <v/>
      </c>
    </row>
    <row r="34">
      <c r="A34" s="21" t="n"/>
      <c r="B34" s="22" t="n"/>
      <c r="C34" s="23" t="n"/>
      <c r="D34" s="22" t="n"/>
      <c r="E34" s="23" t="n"/>
      <c r="F34" s="22" t="n"/>
      <c r="G34" s="24" t="n"/>
      <c r="H34" s="25" t="n"/>
      <c r="I34" s="26">
        <f>IF(OR($G34="",$H34=""),"",$G34*$H34)</f>
        <v/>
      </c>
    </row>
    <row r="35">
      <c r="A35" s="21" t="n"/>
      <c r="B35" s="22" t="n"/>
      <c r="C35" s="23" t="n"/>
      <c r="D35" s="22" t="n"/>
      <c r="E35" s="23" t="n"/>
      <c r="F35" s="22" t="n"/>
      <c r="G35" s="24" t="n"/>
      <c r="H35" s="25" t="n"/>
      <c r="I35" s="26">
        <f>IF(OR($G35="",$H35=""),"",$G35*$H35)</f>
        <v/>
      </c>
    </row>
    <row r="36">
      <c r="A36" s="21" t="n"/>
      <c r="B36" s="22" t="n"/>
      <c r="C36" s="23" t="n"/>
      <c r="D36" s="22" t="n"/>
      <c r="E36" s="23" t="n"/>
      <c r="F36" s="22" t="n"/>
      <c r="G36" s="24" t="n"/>
      <c r="H36" s="25" t="n"/>
      <c r="I36" s="26">
        <f>IF(OR($G36="",$H36=""),"",$G36*$H36)</f>
        <v/>
      </c>
    </row>
    <row r="37">
      <c r="A37" s="21" t="n"/>
      <c r="B37" s="22" t="n"/>
      <c r="C37" s="23" t="n"/>
      <c r="D37" s="22" t="n"/>
      <c r="E37" s="23" t="n"/>
      <c r="F37" s="22" t="n"/>
      <c r="G37" s="24" t="n"/>
      <c r="H37" s="25" t="n"/>
      <c r="I37" s="26">
        <f>IF(OR($G37="",$H37=""),"",$G37*$H37)</f>
        <v/>
      </c>
    </row>
    <row r="38">
      <c r="A38" s="21" t="n"/>
      <c r="B38" s="22" t="n"/>
      <c r="C38" s="23" t="n"/>
      <c r="D38" s="22" t="n"/>
      <c r="E38" s="23" t="n"/>
      <c r="F38" s="22" t="n"/>
      <c r="G38" s="24" t="n"/>
      <c r="H38" s="25" t="n"/>
      <c r="I38" s="26">
        <f>IF(OR($G38="",$H38=""),"",$G38*$H38)</f>
        <v/>
      </c>
    </row>
    <row r="39">
      <c r="A39" s="21" t="n"/>
      <c r="B39" s="22" t="n"/>
      <c r="C39" s="23" t="n"/>
      <c r="D39" s="22" t="n"/>
      <c r="E39" s="23" t="n"/>
      <c r="F39" s="22" t="n"/>
      <c r="G39" s="24" t="n"/>
      <c r="H39" s="25" t="n"/>
      <c r="I39" s="26">
        <f>IF(OR($G39="",$H39=""),"",$G39*$H39)</f>
        <v/>
      </c>
    </row>
    <row r="40">
      <c r="A40" s="21" t="n"/>
      <c r="B40" s="22" t="n"/>
      <c r="C40" s="23" t="n"/>
      <c r="D40" s="22" t="n"/>
      <c r="E40" s="23" t="n"/>
      <c r="F40" s="22" t="n"/>
      <c r="G40" s="24" t="n"/>
      <c r="H40" s="25" t="n"/>
      <c r="I40" s="26">
        <f>IF(OR($G40="",$H40=""),"",$G40*$H40)</f>
        <v/>
      </c>
    </row>
    <row r="41">
      <c r="A41" s="21" t="n"/>
      <c r="B41" s="22" t="n"/>
      <c r="C41" s="23" t="n"/>
      <c r="D41" s="22" t="n"/>
      <c r="E41" s="23" t="n"/>
      <c r="F41" s="22" t="n"/>
      <c r="G41" s="24" t="n"/>
      <c r="H41" s="25" t="n"/>
      <c r="I41" s="26">
        <f>IF(OR($G41="",$H41=""),"",$G41*$H41)</f>
        <v/>
      </c>
    </row>
    <row r="42">
      <c r="A42" s="21" t="n"/>
      <c r="B42" s="22" t="n"/>
      <c r="C42" s="23" t="n"/>
      <c r="D42" s="22" t="n"/>
      <c r="E42" s="23" t="n"/>
      <c r="F42" s="22" t="n"/>
      <c r="G42" s="24" t="n"/>
      <c r="H42" s="25" t="n"/>
      <c r="I42" s="26">
        <f>IF(OR($G42="",$H42=""),"",$G42*$H42)</f>
        <v/>
      </c>
    </row>
    <row r="43">
      <c r="A43" s="21" t="n"/>
      <c r="B43" s="22" t="n"/>
      <c r="C43" s="23" t="n"/>
      <c r="D43" s="22" t="n"/>
      <c r="E43" s="23" t="n"/>
      <c r="F43" s="22" t="n"/>
      <c r="G43" s="24" t="n"/>
      <c r="H43" s="25" t="n"/>
      <c r="I43" s="26">
        <f>IF(OR($G43="",$H43=""),"",$G43*$H43)</f>
        <v/>
      </c>
    </row>
    <row r="44">
      <c r="A44" s="21" t="n"/>
      <c r="B44" s="22" t="n"/>
      <c r="C44" s="23" t="n"/>
      <c r="D44" s="22" t="n"/>
      <c r="E44" s="23" t="n"/>
      <c r="F44" s="22" t="n"/>
      <c r="G44" s="24" t="n"/>
      <c r="H44" s="25" t="n"/>
      <c r="I44" s="26">
        <f>IF(OR($G44="",$H44=""),"",$G44*$H44)</f>
        <v/>
      </c>
    </row>
    <row r="45">
      <c r="A45" s="21" t="n"/>
      <c r="B45" s="22" t="n"/>
      <c r="C45" s="23" t="n"/>
      <c r="D45" s="22" t="n"/>
      <c r="E45" s="23" t="n"/>
      <c r="F45" s="22" t="n"/>
      <c r="G45" s="24" t="n"/>
      <c r="H45" s="25" t="n"/>
      <c r="I45" s="26">
        <f>IF(OR($G45="",$H45=""),"",$G45*$H45)</f>
        <v/>
      </c>
    </row>
    <row r="46">
      <c r="A46" s="21" t="n"/>
      <c r="B46" s="22" t="n"/>
      <c r="C46" s="23" t="n"/>
      <c r="D46" s="22" t="n"/>
      <c r="E46" s="23" t="n"/>
      <c r="F46" s="22" t="n"/>
      <c r="G46" s="24" t="n"/>
      <c r="H46" s="25" t="n"/>
      <c r="I46" s="26">
        <f>IF(OR($G46="",$H46=""),"",$G46*$H46)</f>
        <v/>
      </c>
    </row>
    <row r="47">
      <c r="A47" s="21" t="n"/>
      <c r="B47" s="22" t="n"/>
      <c r="C47" s="23" t="n"/>
      <c r="D47" s="22" t="n"/>
      <c r="E47" s="23" t="n"/>
      <c r="F47" s="22" t="n"/>
      <c r="G47" s="24" t="n"/>
      <c r="H47" s="25" t="n"/>
      <c r="I47" s="26">
        <f>IF(OR($G47="",$H47=""),"",$G47*$H47)</f>
        <v/>
      </c>
    </row>
    <row r="48">
      <c r="A48" s="21" t="n"/>
      <c r="B48" s="22" t="n"/>
      <c r="C48" s="23" t="n"/>
      <c r="D48" s="22" t="n"/>
      <c r="E48" s="23" t="n"/>
      <c r="F48" s="22" t="n"/>
      <c r="G48" s="24" t="n"/>
      <c r="H48" s="25" t="n"/>
      <c r="I48" s="26">
        <f>IF(OR($G48="",$H48=""),"",$G48*$H48)</f>
        <v/>
      </c>
    </row>
    <row r="49">
      <c r="A49" s="21" t="n"/>
      <c r="B49" s="22" t="n"/>
      <c r="C49" s="23" t="n"/>
      <c r="D49" s="22" t="n"/>
      <c r="E49" s="23" t="n"/>
      <c r="F49" s="22" t="n"/>
      <c r="G49" s="24" t="n"/>
      <c r="H49" s="25" t="n"/>
      <c r="I49" s="26">
        <f>IF(OR($G49="",$H49=""),"",$G49*$H49)</f>
        <v/>
      </c>
    </row>
    <row r="50">
      <c r="A50" s="21" t="n"/>
      <c r="B50" s="22" t="n"/>
      <c r="C50" s="23" t="n"/>
      <c r="D50" s="22" t="n"/>
      <c r="E50" s="23" t="n"/>
      <c r="F50" s="22" t="n"/>
      <c r="G50" s="24" t="n"/>
      <c r="H50" s="25" t="n"/>
      <c r="I50" s="26">
        <f>IF(OR($G50="",$H50=""),"",$G50*$H50)</f>
        <v/>
      </c>
    </row>
    <row r="51">
      <c r="A51" s="21" t="n"/>
      <c r="B51" s="22" t="n"/>
      <c r="C51" s="23" t="n"/>
      <c r="D51" s="22" t="n"/>
      <c r="E51" s="23" t="n"/>
      <c r="F51" s="22" t="n"/>
      <c r="G51" s="24" t="n"/>
      <c r="H51" s="25" t="n"/>
      <c r="I51" s="26">
        <f>IF(OR($G51="",$H51=""),"",$G51*$H51)</f>
        <v/>
      </c>
    </row>
    <row r="52">
      <c r="A52" s="21" t="n"/>
      <c r="B52" s="22" t="n"/>
      <c r="C52" s="23" t="n"/>
      <c r="D52" s="22" t="n"/>
      <c r="E52" s="23" t="n"/>
      <c r="F52" s="22" t="n"/>
      <c r="G52" s="24" t="n"/>
      <c r="H52" s="25" t="n"/>
      <c r="I52" s="26">
        <f>IF(OR($G52="",$H52=""),"",$G52*$H52)</f>
        <v/>
      </c>
    </row>
    <row r="53">
      <c r="A53" s="21" t="n"/>
      <c r="B53" s="22" t="n"/>
      <c r="C53" s="23" t="n"/>
      <c r="D53" s="22" t="n"/>
      <c r="E53" s="23" t="n"/>
      <c r="F53" s="22" t="n"/>
      <c r="G53" s="24" t="n"/>
      <c r="H53" s="25" t="n"/>
      <c r="I53" s="26">
        <f>IF(OR($G53="",$H53=""),"",$G53*$H53)</f>
        <v/>
      </c>
    </row>
    <row r="54">
      <c r="A54" s="21" t="n"/>
      <c r="B54" s="22" t="n"/>
      <c r="C54" s="23" t="n"/>
      <c r="D54" s="22" t="n"/>
      <c r="E54" s="23" t="n"/>
      <c r="F54" s="22" t="n"/>
      <c r="G54" s="24" t="n"/>
      <c r="H54" s="25" t="n"/>
      <c r="I54" s="26">
        <f>IF(OR($G54="",$H54=""),"",$G54*$H54)</f>
        <v/>
      </c>
    </row>
    <row r="55">
      <c r="A55" s="21" t="n"/>
      <c r="B55" s="22" t="n"/>
      <c r="C55" s="23" t="n"/>
      <c r="D55" s="22" t="n"/>
      <c r="E55" s="23" t="n"/>
      <c r="F55" s="22" t="n"/>
      <c r="G55" s="24" t="n"/>
      <c r="H55" s="25" t="n"/>
      <c r="I55" s="26">
        <f>IF(OR($G55="",$H55=""),"",$G55*$H55)</f>
        <v/>
      </c>
    </row>
    <row r="56">
      <c r="A56" s="21" t="n"/>
      <c r="B56" s="22" t="n"/>
      <c r="C56" s="23" t="n"/>
      <c r="D56" s="22" t="n"/>
      <c r="E56" s="23" t="n"/>
      <c r="F56" s="22" t="n"/>
      <c r="G56" s="24" t="n"/>
      <c r="H56" s="25" t="n"/>
      <c r="I56" s="26">
        <f>IF(OR($G56="",$H56=""),"",$G56*$H56)</f>
        <v/>
      </c>
    </row>
    <row r="57">
      <c r="A57" s="21" t="n"/>
      <c r="B57" s="22" t="n"/>
      <c r="C57" s="23" t="n"/>
      <c r="D57" s="22" t="n"/>
      <c r="E57" s="23" t="n"/>
      <c r="F57" s="22" t="n"/>
      <c r="G57" s="24" t="n"/>
      <c r="H57" s="25" t="n"/>
      <c r="I57" s="26">
        <f>IF(OR($G57="",$H57=""),"",$G57*$H57)</f>
        <v/>
      </c>
    </row>
    <row r="58">
      <c r="A58" s="21" t="n"/>
      <c r="B58" s="22" t="n"/>
      <c r="C58" s="23" t="n"/>
      <c r="D58" s="22" t="n"/>
      <c r="E58" s="23" t="n"/>
      <c r="F58" s="22" t="n"/>
      <c r="G58" s="24" t="n"/>
      <c r="H58" s="25" t="n"/>
      <c r="I58" s="26">
        <f>IF(OR($G58="",$H58=""),"",$G58*$H58)</f>
        <v/>
      </c>
    </row>
    <row r="59">
      <c r="A59" s="21" t="n"/>
      <c r="B59" s="22" t="n"/>
      <c r="C59" s="23" t="n"/>
      <c r="D59" s="22" t="n"/>
      <c r="E59" s="23" t="n"/>
      <c r="F59" s="22" t="n"/>
      <c r="G59" s="24" t="n"/>
      <c r="H59" s="25" t="n"/>
      <c r="I59" s="26">
        <f>IF(OR($G59="",$H59=""),"",$G59*$H59)</f>
        <v/>
      </c>
    </row>
    <row r="60">
      <c r="A60" s="21" t="n"/>
      <c r="B60" s="22" t="n"/>
      <c r="C60" s="23" t="n"/>
      <c r="D60" s="22" t="n"/>
      <c r="E60" s="23" t="n"/>
      <c r="F60" s="22" t="n"/>
      <c r="G60" s="24" t="n"/>
      <c r="H60" s="25" t="n"/>
      <c r="I60" s="26">
        <f>IF(OR($G60="",$H60=""),"",$G60*$H60)</f>
        <v/>
      </c>
    </row>
    <row r="61">
      <c r="A61" s="21" t="n"/>
      <c r="B61" s="22" t="n"/>
      <c r="C61" s="23" t="n"/>
      <c r="D61" s="22" t="n"/>
      <c r="E61" s="23" t="n"/>
      <c r="F61" s="22" t="n"/>
      <c r="G61" s="24" t="n"/>
      <c r="H61" s="25" t="n"/>
      <c r="I61" s="26">
        <f>IF(OR($G61="",$H61=""),"",$G61*$H61)</f>
        <v/>
      </c>
    </row>
    <row r="62">
      <c r="A62" s="21" t="n"/>
      <c r="B62" s="22" t="n"/>
      <c r="C62" s="23" t="n"/>
      <c r="D62" s="22" t="n"/>
      <c r="E62" s="23" t="n"/>
      <c r="F62" s="22" t="n"/>
      <c r="G62" s="24" t="n"/>
      <c r="H62" s="25" t="n"/>
      <c r="I62" s="26">
        <f>IF(OR($G62="",$H62=""),"",$G62*$H62)</f>
        <v/>
      </c>
    </row>
    <row r="63">
      <c r="A63" s="21" t="n"/>
      <c r="B63" s="22" t="n"/>
      <c r="C63" s="23" t="n"/>
      <c r="D63" s="22" t="n"/>
      <c r="E63" s="23" t="n"/>
      <c r="F63" s="22" t="n"/>
      <c r="G63" s="24" t="n"/>
      <c r="H63" s="25" t="n"/>
      <c r="I63" s="26">
        <f>IF(OR($G63="",$H63=""),"",$G63*$H63)</f>
        <v/>
      </c>
    </row>
    <row r="64">
      <c r="A64" s="21" t="n"/>
      <c r="B64" s="22" t="n"/>
      <c r="C64" s="23" t="n"/>
      <c r="D64" s="22" t="n"/>
      <c r="E64" s="23" t="n"/>
      <c r="F64" s="22" t="n"/>
      <c r="G64" s="24" t="n"/>
      <c r="H64" s="25" t="n"/>
      <c r="I64" s="26">
        <f>IF(OR($G64="",$H64=""),"",$G64*$H64)</f>
        <v/>
      </c>
    </row>
    <row r="65">
      <c r="A65" s="21" t="n"/>
      <c r="B65" s="22" t="n"/>
      <c r="C65" s="23" t="n"/>
      <c r="D65" s="22" t="n"/>
      <c r="E65" s="23" t="n"/>
      <c r="F65" s="22" t="n"/>
      <c r="G65" s="24" t="n"/>
      <c r="H65" s="25" t="n"/>
      <c r="I65" s="26">
        <f>IF(OR($G65="",$H65=""),"",$G65*$H65)</f>
        <v/>
      </c>
    </row>
    <row r="66">
      <c r="A66" s="21" t="n"/>
      <c r="B66" s="22" t="n"/>
      <c r="C66" s="23" t="n"/>
      <c r="D66" s="22" t="n"/>
      <c r="E66" s="23" t="n"/>
      <c r="F66" s="22" t="n"/>
      <c r="G66" s="24" t="n"/>
      <c r="H66" s="25" t="n"/>
      <c r="I66" s="26">
        <f>IF(OR($G66="",$H66=""),"",$G66*$H66)</f>
        <v/>
      </c>
    </row>
    <row r="67">
      <c r="A67" s="21" t="n"/>
      <c r="B67" s="22" t="n"/>
      <c r="C67" s="23" t="n"/>
      <c r="D67" s="22" t="n"/>
      <c r="E67" s="23" t="n"/>
      <c r="F67" s="22" t="n"/>
      <c r="G67" s="24" t="n"/>
      <c r="H67" s="25" t="n"/>
      <c r="I67" s="26">
        <f>IF(OR($G67="",$H67=""),"",$G67*$H67)</f>
        <v/>
      </c>
    </row>
    <row r="68">
      <c r="A68" s="21" t="n"/>
      <c r="B68" s="22" t="n"/>
      <c r="C68" s="23" t="n"/>
      <c r="D68" s="22" t="n"/>
      <c r="E68" s="23" t="n"/>
      <c r="F68" s="22" t="n"/>
      <c r="G68" s="24" t="n"/>
      <c r="H68" s="25" t="n"/>
      <c r="I68" s="26">
        <f>IF(OR($G68="",$H68=""),"",$G68*$H68)</f>
        <v/>
      </c>
    </row>
    <row r="69">
      <c r="A69" s="21" t="n"/>
      <c r="B69" s="22" t="n"/>
      <c r="C69" s="23" t="n"/>
      <c r="D69" s="22" t="n"/>
      <c r="E69" s="23" t="n"/>
      <c r="F69" s="22" t="n"/>
      <c r="G69" s="24" t="n"/>
      <c r="H69" s="25" t="n"/>
      <c r="I69" s="26">
        <f>IF(OR($G69="",$H69=""),"",$G69*$H69)</f>
        <v/>
      </c>
    </row>
    <row r="70">
      <c r="A70" s="21" t="n"/>
      <c r="B70" s="22" t="n"/>
      <c r="C70" s="23" t="n"/>
      <c r="D70" s="22" t="n"/>
      <c r="E70" s="23" t="n"/>
      <c r="F70" s="22" t="n"/>
      <c r="G70" s="24" t="n"/>
      <c r="H70" s="25" t="n"/>
      <c r="I70" s="26">
        <f>IF(OR($G70="",$H70=""),"",$G70*$H70)</f>
        <v/>
      </c>
    </row>
    <row r="71">
      <c r="A71" s="21" t="n"/>
      <c r="B71" s="22" t="n"/>
      <c r="C71" s="23" t="n"/>
      <c r="D71" s="22" t="n"/>
      <c r="E71" s="23" t="n"/>
      <c r="F71" s="22" t="n"/>
      <c r="G71" s="24" t="n"/>
      <c r="H71" s="25" t="n"/>
      <c r="I71" s="26">
        <f>IF(OR($G71="",$H71=""),"",$G71*$H71)</f>
        <v/>
      </c>
    </row>
    <row r="72">
      <c r="A72" s="21" t="n"/>
      <c r="B72" s="22" t="n"/>
      <c r="C72" s="23" t="n"/>
      <c r="D72" s="22" t="n"/>
      <c r="E72" s="23" t="n"/>
      <c r="F72" s="22" t="n"/>
      <c r="G72" s="24" t="n"/>
      <c r="H72" s="25" t="n"/>
      <c r="I72" s="26">
        <f>IF(OR($G72="",$H72=""),"",$G72*$H72)</f>
        <v/>
      </c>
    </row>
    <row r="73">
      <c r="A73" s="21" t="n"/>
      <c r="B73" s="22" t="n"/>
      <c r="C73" s="23" t="n"/>
      <c r="D73" s="22" t="n"/>
      <c r="E73" s="23" t="n"/>
      <c r="F73" s="22" t="n"/>
      <c r="G73" s="24" t="n"/>
      <c r="H73" s="25" t="n"/>
      <c r="I73" s="26">
        <f>IF(OR($G73="",$H73=""),"",$G73*$H73)</f>
        <v/>
      </c>
    </row>
    <row r="74">
      <c r="A74" s="21" t="n"/>
      <c r="B74" s="22" t="n"/>
      <c r="C74" s="23" t="n"/>
      <c r="D74" s="22" t="n"/>
      <c r="E74" s="23" t="n"/>
      <c r="F74" s="22" t="n"/>
      <c r="G74" s="24" t="n"/>
      <c r="H74" s="25" t="n"/>
      <c r="I74" s="26">
        <f>IF(OR($G74="",$H74=""),"",$G74*$H74)</f>
        <v/>
      </c>
    </row>
    <row r="75">
      <c r="A75" s="21" t="n"/>
      <c r="B75" s="22" t="n"/>
      <c r="C75" s="23" t="n"/>
      <c r="D75" s="22" t="n"/>
      <c r="E75" s="23" t="n"/>
      <c r="F75" s="22" t="n"/>
      <c r="G75" s="24" t="n"/>
      <c r="H75" s="25" t="n"/>
      <c r="I75" s="26">
        <f>IF(OR($G75="",$H75=""),"",$G75*$H75)</f>
        <v/>
      </c>
    </row>
    <row r="76">
      <c r="A76" s="21" t="n"/>
      <c r="B76" s="22" t="n"/>
      <c r="C76" s="23" t="n"/>
      <c r="D76" s="22" t="n"/>
      <c r="E76" s="23" t="n"/>
      <c r="F76" s="22" t="n"/>
      <c r="G76" s="24" t="n"/>
      <c r="H76" s="25" t="n"/>
      <c r="I76" s="26">
        <f>IF(OR($G76="",$H76=""),"",$G76*$H76)</f>
        <v/>
      </c>
    </row>
    <row r="77">
      <c r="A77" s="21" t="n"/>
      <c r="B77" s="22" t="n"/>
      <c r="C77" s="23" t="n"/>
      <c r="D77" s="22" t="n"/>
      <c r="E77" s="23" t="n"/>
      <c r="F77" s="22" t="n"/>
      <c r="G77" s="24" t="n"/>
      <c r="H77" s="25" t="n"/>
      <c r="I77" s="26">
        <f>IF(OR($G77="",$H77=""),"",$G77*$H77)</f>
        <v/>
      </c>
    </row>
    <row r="78">
      <c r="A78" s="21" t="n"/>
      <c r="B78" s="22" t="n"/>
      <c r="C78" s="23" t="n"/>
      <c r="D78" s="22" t="n"/>
      <c r="E78" s="23" t="n"/>
      <c r="F78" s="22" t="n"/>
      <c r="G78" s="24" t="n"/>
      <c r="H78" s="25" t="n"/>
      <c r="I78" s="26">
        <f>IF(OR($G78="",$H78=""),"",$G78*$H78)</f>
        <v/>
      </c>
    </row>
    <row r="79">
      <c r="A79" s="21" t="n"/>
      <c r="B79" s="22" t="n"/>
      <c r="C79" s="23" t="n"/>
      <c r="D79" s="22" t="n"/>
      <c r="E79" s="23" t="n"/>
      <c r="F79" s="22" t="n"/>
      <c r="G79" s="24" t="n"/>
      <c r="H79" s="25" t="n"/>
      <c r="I79" s="26">
        <f>IF(OR($G79="",$H79=""),"",$G79*$H79)</f>
        <v/>
      </c>
    </row>
    <row r="80">
      <c r="A80" s="21" t="n"/>
      <c r="B80" s="22" t="n"/>
      <c r="C80" s="23" t="n"/>
      <c r="D80" s="22" t="n"/>
      <c r="E80" s="23" t="n"/>
      <c r="F80" s="22" t="n"/>
      <c r="G80" s="24" t="n"/>
      <c r="H80" s="25" t="n"/>
      <c r="I80" s="26">
        <f>IF(OR($G80="",$H80=""),"",$G80*$H80)</f>
        <v/>
      </c>
    </row>
    <row r="81">
      <c r="A81" s="21" t="n"/>
      <c r="B81" s="22" t="n"/>
      <c r="C81" s="23" t="n"/>
      <c r="D81" s="22" t="n"/>
      <c r="E81" s="23" t="n"/>
      <c r="F81" s="22" t="n"/>
      <c r="G81" s="24" t="n"/>
      <c r="H81" s="25" t="n"/>
      <c r="I81" s="26">
        <f>IF(OR($G81="",$H81=""),"",$G81*$H81)</f>
        <v/>
      </c>
    </row>
    <row r="82">
      <c r="A82" s="21" t="n"/>
      <c r="B82" s="22" t="n"/>
      <c r="C82" s="23" t="n"/>
      <c r="D82" s="22" t="n"/>
      <c r="E82" s="23" t="n"/>
      <c r="F82" s="22" t="n"/>
      <c r="G82" s="24" t="n"/>
      <c r="H82" s="25" t="n"/>
      <c r="I82" s="26">
        <f>IF(OR($G82="",$H82=""),"",$G82*$H82)</f>
        <v/>
      </c>
    </row>
    <row r="83">
      <c r="A83" s="21" t="n"/>
      <c r="B83" s="22" t="n"/>
      <c r="C83" s="23" t="n"/>
      <c r="D83" s="22" t="n"/>
      <c r="E83" s="23" t="n"/>
      <c r="F83" s="22" t="n"/>
      <c r="G83" s="24" t="n"/>
      <c r="H83" s="25" t="n"/>
      <c r="I83" s="26">
        <f>IF(OR($G83="",$H83=""),"",$G83*$H83)</f>
        <v/>
      </c>
    </row>
    <row r="84">
      <c r="A84" s="21" t="n"/>
      <c r="B84" s="22" t="n"/>
      <c r="C84" s="23" t="n"/>
      <c r="D84" s="22" t="n"/>
      <c r="E84" s="23" t="n"/>
      <c r="F84" s="22" t="n"/>
      <c r="G84" s="24" t="n"/>
      <c r="H84" s="25" t="n"/>
      <c r="I84" s="26">
        <f>IF(OR($G84="",$H84=""),"",$G84*$H84)</f>
        <v/>
      </c>
    </row>
    <row r="85">
      <c r="A85" s="21" t="n"/>
      <c r="B85" s="22" t="n"/>
      <c r="C85" s="23" t="n"/>
      <c r="D85" s="22" t="n"/>
      <c r="E85" s="23" t="n"/>
      <c r="F85" s="22" t="n"/>
      <c r="G85" s="24" t="n"/>
      <c r="H85" s="25" t="n"/>
      <c r="I85" s="26">
        <f>IF(OR($G85="",$H85=""),"",$G85*$H85)</f>
        <v/>
      </c>
    </row>
    <row r="86">
      <c r="A86" s="21" t="n"/>
      <c r="B86" s="22" t="n"/>
      <c r="C86" s="23" t="n"/>
      <c r="D86" s="22" t="n"/>
      <c r="E86" s="23" t="n"/>
      <c r="F86" s="22" t="n"/>
      <c r="G86" s="24" t="n"/>
      <c r="H86" s="25" t="n"/>
      <c r="I86" s="26">
        <f>IF(OR($G86="",$H86=""),"",$G86*$H86)</f>
        <v/>
      </c>
    </row>
    <row r="87">
      <c r="A87" s="21" t="n"/>
      <c r="B87" s="22" t="n"/>
      <c r="C87" s="23" t="n"/>
      <c r="D87" s="22" t="n"/>
      <c r="E87" s="23" t="n"/>
      <c r="F87" s="22" t="n"/>
      <c r="G87" s="24" t="n"/>
      <c r="H87" s="25" t="n"/>
      <c r="I87" s="26">
        <f>IF(OR($G87="",$H87=""),"",$G87*$H87)</f>
        <v/>
      </c>
    </row>
    <row r="88">
      <c r="A88" s="21" t="n"/>
      <c r="B88" s="22" t="n"/>
      <c r="C88" s="23" t="n"/>
      <c r="D88" s="22" t="n"/>
      <c r="E88" s="23" t="n"/>
      <c r="F88" s="22" t="n"/>
      <c r="G88" s="24" t="n"/>
      <c r="H88" s="25" t="n"/>
      <c r="I88" s="26">
        <f>IF(OR($G88="",$H88=""),"",$G88*$H88)</f>
        <v/>
      </c>
    </row>
    <row r="89">
      <c r="A89" s="21" t="n"/>
      <c r="B89" s="22" t="n"/>
      <c r="C89" s="23" t="n"/>
      <c r="D89" s="22" t="n"/>
      <c r="E89" s="23" t="n"/>
      <c r="F89" s="22" t="n"/>
      <c r="G89" s="24" t="n"/>
      <c r="H89" s="25" t="n"/>
      <c r="I89" s="26">
        <f>IF(OR($G89="",$H89=""),"",$G89*$H89)</f>
        <v/>
      </c>
    </row>
    <row r="90">
      <c r="A90" s="21" t="n"/>
      <c r="B90" s="22" t="n"/>
      <c r="C90" s="23" t="n"/>
      <c r="D90" s="22" t="n"/>
      <c r="E90" s="23" t="n"/>
      <c r="F90" s="22" t="n"/>
      <c r="G90" s="24" t="n"/>
      <c r="H90" s="25" t="n"/>
      <c r="I90" s="26">
        <f>IF(OR($G90="",$H90=""),"",$G90*$H90)</f>
        <v/>
      </c>
    </row>
    <row r="91">
      <c r="A91" s="21" t="n"/>
      <c r="B91" s="22" t="n"/>
      <c r="C91" s="23" t="n"/>
      <c r="D91" s="22" t="n"/>
      <c r="E91" s="23" t="n"/>
      <c r="F91" s="22" t="n"/>
      <c r="G91" s="24" t="n"/>
      <c r="H91" s="25" t="n"/>
      <c r="I91" s="26">
        <f>IF(OR($G91="",$H91=""),"",$G91*$H91)</f>
        <v/>
      </c>
    </row>
    <row r="92">
      <c r="A92" s="21" t="n"/>
      <c r="B92" s="22" t="n"/>
      <c r="C92" s="23" t="n"/>
      <c r="D92" s="22" t="n"/>
      <c r="E92" s="23" t="n"/>
      <c r="F92" s="22" t="n"/>
      <c r="G92" s="24" t="n"/>
      <c r="H92" s="25" t="n"/>
      <c r="I92" s="26">
        <f>IF(OR($G92="",$H92=""),"",$G92*$H92)</f>
        <v/>
      </c>
    </row>
    <row r="93">
      <c r="A93" s="21" t="n"/>
      <c r="B93" s="22" t="n"/>
      <c r="C93" s="23" t="n"/>
      <c r="D93" s="22" t="n"/>
      <c r="E93" s="23" t="n"/>
      <c r="F93" s="22" t="n"/>
      <c r="G93" s="24" t="n"/>
      <c r="H93" s="25" t="n"/>
      <c r="I93" s="26">
        <f>IF(OR($G93="",$H93=""),"",$G93*$H93)</f>
        <v/>
      </c>
    </row>
    <row r="94">
      <c r="A94" s="21" t="n"/>
      <c r="B94" s="22" t="n"/>
      <c r="C94" s="23" t="n"/>
      <c r="D94" s="22" t="n"/>
      <c r="E94" s="23" t="n"/>
      <c r="F94" s="22" t="n"/>
      <c r="G94" s="24" t="n"/>
      <c r="H94" s="25" t="n"/>
      <c r="I94" s="26">
        <f>IF(OR($G94="",$H94=""),"",$G94*$H94)</f>
        <v/>
      </c>
    </row>
    <row r="95">
      <c r="A95" s="21" t="n"/>
      <c r="B95" s="22" t="n"/>
      <c r="C95" s="23" t="n"/>
      <c r="D95" s="22" t="n"/>
      <c r="E95" s="23" t="n"/>
      <c r="F95" s="22" t="n"/>
      <c r="G95" s="24" t="n"/>
      <c r="H95" s="25" t="n"/>
      <c r="I95" s="26">
        <f>IF(OR($G95="",$H95=""),"",$G95*$H95)</f>
        <v/>
      </c>
    </row>
    <row r="96">
      <c r="A96" s="21" t="n"/>
      <c r="B96" s="22" t="n"/>
      <c r="C96" s="23" t="n"/>
      <c r="D96" s="22" t="n"/>
      <c r="E96" s="23" t="n"/>
      <c r="F96" s="22" t="n"/>
      <c r="G96" s="24" t="n"/>
      <c r="H96" s="25" t="n"/>
      <c r="I96" s="26">
        <f>IF(OR($G96="",$H96=""),"",$G96*$H96)</f>
        <v/>
      </c>
    </row>
    <row r="97">
      <c r="A97" s="21" t="n"/>
      <c r="B97" s="22" t="n"/>
      <c r="C97" s="23" t="n"/>
      <c r="D97" s="22" t="n"/>
      <c r="E97" s="23" t="n"/>
      <c r="F97" s="22" t="n"/>
      <c r="G97" s="24" t="n"/>
      <c r="H97" s="25" t="n"/>
      <c r="I97" s="26">
        <f>IF(OR($G97="",$H97=""),"",$G97*$H97)</f>
        <v/>
      </c>
    </row>
    <row r="98">
      <c r="A98" s="21" t="n"/>
      <c r="B98" s="22" t="n"/>
      <c r="C98" s="23" t="n"/>
      <c r="D98" s="22" t="n"/>
      <c r="E98" s="23" t="n"/>
      <c r="F98" s="22" t="n"/>
      <c r="G98" s="24" t="n"/>
      <c r="H98" s="25" t="n"/>
      <c r="I98" s="26">
        <f>IF(OR($G98="",$H98=""),"",$G98*$H98)</f>
        <v/>
      </c>
    </row>
    <row r="99">
      <c r="A99" s="21" t="n"/>
      <c r="B99" s="22" t="n"/>
      <c r="C99" s="23" t="n"/>
      <c r="D99" s="22" t="n"/>
      <c r="E99" s="23" t="n"/>
      <c r="F99" s="22" t="n"/>
      <c r="G99" s="24" t="n"/>
      <c r="H99" s="25" t="n"/>
      <c r="I99" s="26">
        <f>IF(OR($G99="",$H99=""),"",$G99*$H99)</f>
        <v/>
      </c>
    </row>
    <row r="100">
      <c r="A100" s="21" t="n"/>
      <c r="B100" s="22" t="n"/>
      <c r="C100" s="23" t="n"/>
      <c r="D100" s="22" t="n"/>
      <c r="E100" s="23" t="n"/>
      <c r="F100" s="22" t="n"/>
      <c r="G100" s="24" t="n"/>
      <c r="H100" s="25" t="n"/>
      <c r="I100" s="26">
        <f>IF(OR($G100="",$H100=""),"",$G100*$H100)</f>
        <v/>
      </c>
    </row>
    <row r="101">
      <c r="A101" s="21" t="n"/>
      <c r="B101" s="22" t="n"/>
      <c r="C101" s="23" t="n"/>
      <c r="D101" s="22" t="n"/>
      <c r="E101" s="23" t="n"/>
      <c r="F101" s="22" t="n"/>
      <c r="G101" s="24" t="n"/>
      <c r="H101" s="25" t="n"/>
      <c r="I101" s="26">
        <f>IF(OR($G101="",$H101=""),"",$G101*$H101)</f>
        <v/>
      </c>
    </row>
    <row r="102">
      <c r="A102" s="21" t="n"/>
      <c r="B102" s="22" t="n"/>
      <c r="C102" s="23" t="n"/>
      <c r="D102" s="22" t="n"/>
      <c r="E102" s="23" t="n"/>
      <c r="F102" s="22" t="n"/>
      <c r="G102" s="24" t="n"/>
      <c r="H102" s="25" t="n"/>
      <c r="I102" s="26">
        <f>IF(OR($G102="",$H102=""),"",$G102*$H102)</f>
        <v/>
      </c>
    </row>
    <row r="103">
      <c r="A103" s="21" t="n"/>
      <c r="B103" s="22" t="n"/>
      <c r="C103" s="23" t="n"/>
      <c r="D103" s="22" t="n"/>
      <c r="E103" s="23" t="n"/>
      <c r="F103" s="22" t="n"/>
      <c r="G103" s="24" t="n"/>
      <c r="H103" s="25" t="n"/>
      <c r="I103" s="26">
        <f>IF(OR($G103="",$H103=""),"",$G103*$H103)</f>
        <v/>
      </c>
    </row>
    <row r="104">
      <c r="A104" s="21" t="n"/>
      <c r="B104" s="22" t="n"/>
      <c r="C104" s="23" t="n"/>
      <c r="D104" s="22" t="n"/>
      <c r="E104" s="23" t="n"/>
      <c r="F104" s="22" t="n"/>
      <c r="G104" s="24" t="n"/>
      <c r="H104" s="25" t="n"/>
      <c r="I104" s="26">
        <f>IF(OR($G104="",$H104=""),"",$G104*$H104)</f>
        <v/>
      </c>
    </row>
    <row r="105">
      <c r="A105" s="21" t="n"/>
      <c r="B105" s="22" t="n"/>
      <c r="C105" s="23" t="n"/>
      <c r="D105" s="22" t="n"/>
      <c r="E105" s="23" t="n"/>
      <c r="F105" s="22" t="n"/>
      <c r="G105" s="24" t="n"/>
      <c r="H105" s="25" t="n"/>
      <c r="I105" s="26">
        <f>IF(OR($G105="",$H105=""),"",$G105*$H105)</f>
        <v/>
      </c>
    </row>
    <row r="106">
      <c r="A106" s="21" t="n"/>
      <c r="B106" s="22" t="n"/>
      <c r="C106" s="23" t="n"/>
      <c r="D106" s="22" t="n"/>
      <c r="E106" s="23" t="n"/>
      <c r="F106" s="22" t="n"/>
      <c r="G106" s="24" t="n"/>
      <c r="H106" s="25" t="n"/>
      <c r="I106" s="26">
        <f>IF(OR($G106="",$H106=""),"",$G106*$H106)</f>
        <v/>
      </c>
    </row>
    <row r="107">
      <c r="A107" s="21" t="n"/>
      <c r="B107" s="22" t="n"/>
      <c r="C107" s="23" t="n"/>
      <c r="D107" s="22" t="n"/>
      <c r="E107" s="23" t="n"/>
      <c r="F107" s="22" t="n"/>
      <c r="G107" s="24" t="n"/>
      <c r="H107" s="25" t="n"/>
      <c r="I107" s="26">
        <f>IF(OR($G107="",$H107=""),"",$G107*$H107)</f>
        <v/>
      </c>
    </row>
    <row r="108">
      <c r="A108" s="21" t="n"/>
      <c r="B108" s="22" t="n"/>
      <c r="C108" s="23" t="n"/>
      <c r="D108" s="22" t="n"/>
      <c r="E108" s="23" t="n"/>
      <c r="F108" s="22" t="n"/>
      <c r="G108" s="24" t="n"/>
      <c r="H108" s="25" t="n"/>
      <c r="I108" s="26">
        <f>IF(OR($G108="",$H108=""),"",$G108*$H108)</f>
        <v/>
      </c>
    </row>
    <row r="109">
      <c r="A109" s="21" t="n"/>
      <c r="B109" s="22" t="n"/>
      <c r="C109" s="23" t="n"/>
      <c r="D109" s="22" t="n"/>
      <c r="E109" s="23" t="n"/>
      <c r="F109" s="22" t="n"/>
      <c r="G109" s="24" t="n"/>
      <c r="H109" s="25" t="n"/>
      <c r="I109" s="26">
        <f>IF(OR($G109="",$H109=""),"",$G109*$H109)</f>
        <v/>
      </c>
    </row>
    <row r="110">
      <c r="A110" s="21" t="n"/>
      <c r="B110" s="22" t="n"/>
      <c r="C110" s="23" t="n"/>
      <c r="D110" s="22" t="n"/>
      <c r="E110" s="23" t="n"/>
      <c r="F110" s="22" t="n"/>
      <c r="G110" s="24" t="n"/>
      <c r="H110" s="25" t="n"/>
      <c r="I110" s="26">
        <f>IF(OR($G110="",$H110=""),"",$G110*$H110)</f>
        <v/>
      </c>
    </row>
    <row r="111">
      <c r="A111" s="21" t="n"/>
      <c r="B111" s="22" t="n"/>
      <c r="C111" s="23" t="n"/>
      <c r="D111" s="22" t="n"/>
      <c r="E111" s="23" t="n"/>
      <c r="F111" s="22" t="n"/>
      <c r="G111" s="24" t="n"/>
      <c r="H111" s="25" t="n"/>
      <c r="I111" s="26">
        <f>IF(OR($G111="",$H111=""),"",$G111*$H111)</f>
        <v/>
      </c>
    </row>
    <row r="112">
      <c r="A112" s="21" t="n"/>
      <c r="B112" s="22" t="n"/>
      <c r="C112" s="23" t="n"/>
      <c r="D112" s="22" t="n"/>
      <c r="E112" s="23" t="n"/>
      <c r="F112" s="22" t="n"/>
      <c r="G112" s="24" t="n"/>
      <c r="H112" s="25" t="n"/>
      <c r="I112" s="26">
        <f>IF(OR($G112="",$H112=""),"",$G112*$H112)</f>
        <v/>
      </c>
    </row>
    <row r="113">
      <c r="A113" s="21" t="n"/>
      <c r="B113" s="22" t="n"/>
      <c r="C113" s="23" t="n"/>
      <c r="D113" s="22" t="n"/>
      <c r="E113" s="23" t="n"/>
      <c r="F113" s="22" t="n"/>
      <c r="G113" s="24" t="n"/>
      <c r="H113" s="25" t="n"/>
      <c r="I113" s="26">
        <f>IF(OR($G113="",$H113=""),"",$G113*$H113)</f>
        <v/>
      </c>
    </row>
    <row r="114">
      <c r="A114" s="21" t="n"/>
      <c r="B114" s="22" t="n"/>
      <c r="C114" s="23" t="n"/>
      <c r="D114" s="22" t="n"/>
      <c r="E114" s="23" t="n"/>
      <c r="F114" s="22" t="n"/>
      <c r="G114" s="24" t="n"/>
      <c r="H114" s="25" t="n"/>
      <c r="I114" s="26">
        <f>IF(OR($G114="",$H114=""),"",$G114*$H114)</f>
        <v/>
      </c>
    </row>
    <row r="115">
      <c r="A115" s="21" t="n"/>
      <c r="B115" s="22" t="n"/>
      <c r="C115" s="23" t="n"/>
      <c r="D115" s="22" t="n"/>
      <c r="E115" s="23" t="n"/>
      <c r="F115" s="22" t="n"/>
      <c r="G115" s="24" t="n"/>
      <c r="H115" s="25" t="n"/>
      <c r="I115" s="26">
        <f>IF(OR($G115="",$H115=""),"",$G115*$H115)</f>
        <v/>
      </c>
    </row>
    <row r="116">
      <c r="A116" s="21" t="n"/>
      <c r="B116" s="22" t="n"/>
      <c r="C116" s="23" t="n"/>
      <c r="D116" s="22" t="n"/>
      <c r="E116" s="23" t="n"/>
      <c r="F116" s="22" t="n"/>
      <c r="G116" s="24" t="n"/>
      <c r="H116" s="25" t="n"/>
      <c r="I116" s="26">
        <f>IF(OR($G116="",$H116=""),"",$G116*$H116)</f>
        <v/>
      </c>
    </row>
    <row r="117">
      <c r="A117" s="21" t="n"/>
      <c r="B117" s="22" t="n"/>
      <c r="C117" s="23" t="n"/>
      <c r="D117" s="22" t="n"/>
      <c r="E117" s="23" t="n"/>
      <c r="F117" s="22" t="n"/>
      <c r="G117" s="24" t="n"/>
      <c r="H117" s="25" t="n"/>
      <c r="I117" s="26">
        <f>IF(OR($G117="",$H117=""),"",$G117*$H117)</f>
        <v/>
      </c>
    </row>
    <row r="118">
      <c r="A118" s="21" t="n"/>
      <c r="B118" s="22" t="n"/>
      <c r="C118" s="23" t="n"/>
      <c r="D118" s="22" t="n"/>
      <c r="E118" s="23" t="n"/>
      <c r="F118" s="22" t="n"/>
      <c r="G118" s="24" t="n"/>
      <c r="H118" s="25" t="n"/>
      <c r="I118" s="26">
        <f>IF(OR($G118="",$H118=""),"",$G118*$H118)</f>
        <v/>
      </c>
    </row>
    <row r="119">
      <c r="A119" s="21" t="n"/>
      <c r="B119" s="22" t="n"/>
      <c r="C119" s="23" t="n"/>
      <c r="D119" s="22" t="n"/>
      <c r="E119" s="23" t="n"/>
      <c r="F119" s="22" t="n"/>
      <c r="G119" s="24" t="n"/>
      <c r="H119" s="25" t="n"/>
      <c r="I119" s="26">
        <f>IF(OR($G119="",$H119=""),"",$G119*$H119)</f>
        <v/>
      </c>
    </row>
    <row r="120">
      <c r="A120" s="21" t="n"/>
      <c r="B120" s="22" t="n"/>
      <c r="C120" s="23" t="n"/>
      <c r="D120" s="22" t="n"/>
      <c r="E120" s="23" t="n"/>
      <c r="F120" s="22" t="n"/>
      <c r="G120" s="24" t="n"/>
      <c r="H120" s="25" t="n"/>
      <c r="I120" s="26">
        <f>IF(OR($G120="",$H120=""),"",$G120*$H120)</f>
        <v/>
      </c>
    </row>
    <row r="121">
      <c r="A121" s="21" t="n"/>
      <c r="B121" s="22" t="n"/>
      <c r="C121" s="23" t="n"/>
      <c r="D121" s="22" t="n"/>
      <c r="E121" s="23" t="n"/>
      <c r="F121" s="22" t="n"/>
      <c r="G121" s="24" t="n"/>
      <c r="H121" s="25" t="n"/>
      <c r="I121" s="26">
        <f>IF(OR($G121="",$H121=""),"",$G121*$H121)</f>
        <v/>
      </c>
    </row>
    <row r="122">
      <c r="A122" s="21" t="n"/>
      <c r="B122" s="22" t="n"/>
      <c r="C122" s="23" t="n"/>
      <c r="D122" s="22" t="n"/>
      <c r="E122" s="23" t="n"/>
      <c r="F122" s="22" t="n"/>
      <c r="G122" s="24" t="n"/>
      <c r="H122" s="25" t="n"/>
      <c r="I122" s="26">
        <f>IF(OR($G122="",$H122=""),"",$G122*$H122)</f>
        <v/>
      </c>
    </row>
    <row r="123">
      <c r="A123" s="21" t="n"/>
      <c r="B123" s="22" t="n"/>
      <c r="C123" s="23" t="n"/>
      <c r="D123" s="22" t="n"/>
      <c r="E123" s="23" t="n"/>
      <c r="F123" s="22" t="n"/>
      <c r="G123" s="24" t="n"/>
      <c r="H123" s="25" t="n"/>
      <c r="I123" s="26">
        <f>IF(OR($G123="",$H123=""),"",$G123*$H123)</f>
        <v/>
      </c>
    </row>
    <row r="124">
      <c r="A124" s="21" t="n"/>
      <c r="B124" s="22" t="n"/>
      <c r="C124" s="23" t="n"/>
      <c r="D124" s="22" t="n"/>
      <c r="E124" s="23" t="n"/>
      <c r="F124" s="22" t="n"/>
      <c r="G124" s="24" t="n"/>
      <c r="H124" s="25" t="n"/>
      <c r="I124" s="26">
        <f>IF(OR($G124="",$H124=""),"",$G124*$H124)</f>
        <v/>
      </c>
    </row>
    <row r="125">
      <c r="A125" s="21" t="n"/>
      <c r="B125" s="22" t="n"/>
      <c r="C125" s="23" t="n"/>
      <c r="D125" s="22" t="n"/>
      <c r="E125" s="23" t="n"/>
      <c r="F125" s="22" t="n"/>
      <c r="G125" s="24" t="n"/>
      <c r="H125" s="25" t="n"/>
      <c r="I125" s="26">
        <f>IF(OR($G125="",$H125=""),"",$G125*$H125)</f>
        <v/>
      </c>
    </row>
    <row r="126">
      <c r="A126" s="21" t="n"/>
      <c r="B126" s="22" t="n"/>
      <c r="C126" s="23" t="n"/>
      <c r="D126" s="22" t="n"/>
      <c r="E126" s="23" t="n"/>
      <c r="F126" s="22" t="n"/>
      <c r="G126" s="24" t="n"/>
      <c r="H126" s="25" t="n"/>
      <c r="I126" s="26">
        <f>IF(OR($G126="",$H126=""),"",$G126*$H126)</f>
        <v/>
      </c>
    </row>
    <row r="127">
      <c r="A127" s="21" t="n"/>
      <c r="B127" s="22" t="n"/>
      <c r="C127" s="23" t="n"/>
      <c r="D127" s="22" t="n"/>
      <c r="E127" s="23" t="n"/>
      <c r="F127" s="22" t="n"/>
      <c r="G127" s="24" t="n"/>
      <c r="H127" s="25" t="n"/>
      <c r="I127" s="26">
        <f>IF(OR($G127="",$H127=""),"",$G127*$H127)</f>
        <v/>
      </c>
    </row>
    <row r="128">
      <c r="A128" s="21" t="n"/>
      <c r="B128" s="22" t="n"/>
      <c r="C128" s="23" t="n"/>
      <c r="D128" s="22" t="n"/>
      <c r="E128" s="23" t="n"/>
      <c r="F128" s="22" t="n"/>
      <c r="G128" s="24" t="n"/>
      <c r="H128" s="25" t="n"/>
      <c r="I128" s="26">
        <f>IF(OR($G128="",$H128=""),"",$G128*$H128)</f>
        <v/>
      </c>
    </row>
    <row r="129">
      <c r="A129" s="21" t="n"/>
      <c r="B129" s="22" t="n"/>
      <c r="C129" s="23" t="n"/>
      <c r="D129" s="22" t="n"/>
      <c r="E129" s="23" t="n"/>
      <c r="F129" s="22" t="n"/>
      <c r="G129" s="24" t="n"/>
      <c r="H129" s="25" t="n"/>
      <c r="I129" s="26">
        <f>IF(OR($G129="",$H129=""),"",$G129*$H129)</f>
        <v/>
      </c>
    </row>
    <row r="130">
      <c r="A130" s="21" t="n"/>
      <c r="B130" s="22" t="n"/>
      <c r="C130" s="23" t="n"/>
      <c r="D130" s="22" t="n"/>
      <c r="E130" s="23" t="n"/>
      <c r="F130" s="22" t="n"/>
      <c r="G130" s="24" t="n"/>
      <c r="H130" s="25" t="n"/>
      <c r="I130" s="26">
        <f>IF(OR($G130="",$H130=""),"",$G130*$H130)</f>
        <v/>
      </c>
    </row>
    <row r="131">
      <c r="A131" s="21" t="n"/>
      <c r="B131" s="22" t="n"/>
      <c r="C131" s="23" t="n"/>
      <c r="D131" s="22" t="n"/>
      <c r="E131" s="23" t="n"/>
      <c r="F131" s="22" t="n"/>
      <c r="G131" s="24" t="n"/>
      <c r="H131" s="25" t="n"/>
      <c r="I131" s="26">
        <f>IF(OR($G131="",$H131=""),"",$G131*$H131)</f>
        <v/>
      </c>
    </row>
    <row r="132">
      <c r="A132" s="21" t="n"/>
      <c r="B132" s="22" t="n"/>
      <c r="C132" s="23" t="n"/>
      <c r="D132" s="22" t="n"/>
      <c r="E132" s="23" t="n"/>
      <c r="F132" s="22" t="n"/>
      <c r="G132" s="24" t="n"/>
      <c r="H132" s="25" t="n"/>
      <c r="I132" s="26">
        <f>IF(OR($G132="",$H132=""),"",$G132*$H132)</f>
        <v/>
      </c>
    </row>
    <row r="133">
      <c r="A133" s="21" t="n"/>
      <c r="B133" s="22" t="n"/>
      <c r="C133" s="23" t="n"/>
      <c r="D133" s="22" t="n"/>
      <c r="E133" s="23" t="n"/>
      <c r="F133" s="22" t="n"/>
      <c r="G133" s="24" t="n"/>
      <c r="H133" s="25" t="n"/>
      <c r="I133" s="26">
        <f>IF(OR($G133="",$H133=""),"",$G133*$H133)</f>
        <v/>
      </c>
    </row>
    <row r="134">
      <c r="A134" s="21" t="n"/>
      <c r="B134" s="22" t="n"/>
      <c r="C134" s="23" t="n"/>
      <c r="D134" s="22" t="n"/>
      <c r="E134" s="23" t="n"/>
      <c r="F134" s="22" t="n"/>
      <c r="G134" s="24" t="n"/>
      <c r="H134" s="25" t="n"/>
      <c r="I134" s="26">
        <f>IF(OR($G134="",$H134=""),"",$G134*$H134)</f>
        <v/>
      </c>
    </row>
    <row r="135">
      <c r="A135" s="21" t="n"/>
      <c r="B135" s="22" t="n"/>
      <c r="C135" s="23" t="n"/>
      <c r="D135" s="22" t="n"/>
      <c r="E135" s="23" t="n"/>
      <c r="F135" s="22" t="n"/>
      <c r="G135" s="24" t="n"/>
      <c r="H135" s="25" t="n"/>
      <c r="I135" s="26">
        <f>IF(OR($G135="",$H135=""),"",$G135*$H135)</f>
        <v/>
      </c>
    </row>
    <row r="136">
      <c r="A136" s="21" t="n"/>
      <c r="B136" s="22" t="n"/>
      <c r="C136" s="23" t="n"/>
      <c r="D136" s="22" t="n"/>
      <c r="E136" s="23" t="n"/>
      <c r="F136" s="22" t="n"/>
      <c r="G136" s="24" t="n"/>
      <c r="H136" s="25" t="n"/>
      <c r="I136" s="26">
        <f>IF(OR($G136="",$H136=""),"",$G136*$H136)</f>
        <v/>
      </c>
    </row>
    <row r="137">
      <c r="A137" s="21" t="n"/>
      <c r="B137" s="22" t="n"/>
      <c r="C137" s="23" t="n"/>
      <c r="D137" s="22" t="n"/>
      <c r="E137" s="23" t="n"/>
      <c r="F137" s="22" t="n"/>
      <c r="G137" s="24" t="n"/>
      <c r="H137" s="25" t="n"/>
      <c r="I137" s="26">
        <f>IF(OR($G137="",$H137=""),"",$G137*$H137)</f>
        <v/>
      </c>
    </row>
    <row r="138">
      <c r="A138" s="21" t="n"/>
      <c r="B138" s="22" t="n"/>
      <c r="C138" s="23" t="n"/>
      <c r="D138" s="22" t="n"/>
      <c r="E138" s="23" t="n"/>
      <c r="F138" s="22" t="n"/>
      <c r="G138" s="24" t="n"/>
      <c r="H138" s="25" t="n"/>
      <c r="I138" s="26">
        <f>IF(OR($G138="",$H138=""),"",$G138*$H138)</f>
        <v/>
      </c>
    </row>
    <row r="139">
      <c r="A139" s="21" t="n"/>
      <c r="B139" s="22" t="n"/>
      <c r="C139" s="23" t="n"/>
      <c r="D139" s="22" t="n"/>
      <c r="E139" s="23" t="n"/>
      <c r="F139" s="22" t="n"/>
      <c r="G139" s="24" t="n"/>
      <c r="H139" s="25" t="n"/>
      <c r="I139" s="26">
        <f>IF(OR($G139="",$H139=""),"",$G139*$H139)</f>
        <v/>
      </c>
    </row>
    <row r="140">
      <c r="A140" s="21" t="n"/>
      <c r="B140" s="22" t="n"/>
      <c r="C140" s="23" t="n"/>
      <c r="D140" s="22" t="n"/>
      <c r="E140" s="23" t="n"/>
      <c r="F140" s="22" t="n"/>
      <c r="G140" s="24" t="n"/>
      <c r="H140" s="25" t="n"/>
      <c r="I140" s="26">
        <f>IF(OR($G140="",$H140=""),"",$G140*$H140)</f>
        <v/>
      </c>
    </row>
    <row r="141">
      <c r="A141" s="21" t="n"/>
      <c r="B141" s="22" t="n"/>
      <c r="C141" s="23" t="n"/>
      <c r="D141" s="22" t="n"/>
      <c r="E141" s="23" t="n"/>
      <c r="F141" s="22" t="n"/>
      <c r="G141" s="24" t="n"/>
      <c r="H141" s="25" t="n"/>
      <c r="I141" s="26">
        <f>IF(OR($G141="",$H141=""),"",$G141*$H141)</f>
        <v/>
      </c>
    </row>
    <row r="142">
      <c r="A142" s="21" t="n"/>
      <c r="B142" s="22" t="n"/>
      <c r="C142" s="23" t="n"/>
      <c r="D142" s="22" t="n"/>
      <c r="E142" s="23" t="n"/>
      <c r="F142" s="22" t="n"/>
      <c r="G142" s="24" t="n"/>
      <c r="H142" s="25" t="n"/>
      <c r="I142" s="26">
        <f>IF(OR($G142="",$H142=""),"",$G142*$H142)</f>
        <v/>
      </c>
    </row>
    <row r="143">
      <c r="A143" s="21" t="n"/>
      <c r="B143" s="22" t="n"/>
      <c r="C143" s="23" t="n"/>
      <c r="D143" s="22" t="n"/>
      <c r="E143" s="23" t="n"/>
      <c r="F143" s="22" t="n"/>
      <c r="G143" s="24" t="n"/>
      <c r="H143" s="25" t="n"/>
      <c r="I143" s="26">
        <f>IF(OR($G143="",$H143=""),"",$G143*$H143)</f>
        <v/>
      </c>
    </row>
    <row r="144">
      <c r="A144" s="21" t="n"/>
      <c r="B144" s="22" t="n"/>
      <c r="C144" s="23" t="n"/>
      <c r="D144" s="22" t="n"/>
      <c r="E144" s="23" t="n"/>
      <c r="F144" s="22" t="n"/>
      <c r="G144" s="24" t="n"/>
      <c r="H144" s="25" t="n"/>
      <c r="I144" s="26">
        <f>IF(OR($G144="",$H144=""),"",$G144*$H144)</f>
        <v/>
      </c>
    </row>
    <row r="145">
      <c r="A145" s="21" t="n"/>
      <c r="B145" s="22" t="n"/>
      <c r="C145" s="23" t="n"/>
      <c r="D145" s="22" t="n"/>
      <c r="E145" s="23" t="n"/>
      <c r="F145" s="22" t="n"/>
      <c r="G145" s="24" t="n"/>
      <c r="H145" s="25" t="n"/>
      <c r="I145" s="26">
        <f>IF(OR($G145="",$H145=""),"",$G145*$H145)</f>
        <v/>
      </c>
    </row>
    <row r="146">
      <c r="A146" s="21" t="n"/>
      <c r="B146" s="22" t="n"/>
      <c r="C146" s="23" t="n"/>
      <c r="D146" s="22" t="n"/>
      <c r="E146" s="23" t="n"/>
      <c r="F146" s="22" t="n"/>
      <c r="G146" s="24" t="n"/>
      <c r="H146" s="25" t="n"/>
      <c r="I146" s="26">
        <f>IF(OR($G146="",$H146=""),"",$G146*$H146)</f>
        <v/>
      </c>
    </row>
    <row r="147">
      <c r="A147" s="21" t="n"/>
      <c r="B147" s="22" t="n"/>
      <c r="C147" s="23" t="n"/>
      <c r="D147" s="22" t="n"/>
      <c r="E147" s="23" t="n"/>
      <c r="F147" s="22" t="n"/>
      <c r="G147" s="24" t="n"/>
      <c r="H147" s="25" t="n"/>
      <c r="I147" s="26">
        <f>IF(OR($G147="",$H147=""),"",$G147*$H147)</f>
        <v/>
      </c>
    </row>
    <row r="148">
      <c r="A148" s="21" t="n"/>
      <c r="B148" s="22" t="n"/>
      <c r="C148" s="23" t="n"/>
      <c r="D148" s="22" t="n"/>
      <c r="E148" s="23" t="n"/>
      <c r="F148" s="22" t="n"/>
      <c r="G148" s="24" t="n"/>
      <c r="H148" s="25" t="n"/>
      <c r="I148" s="26">
        <f>IF(OR($G148="",$H148=""),"",$G148*$H148)</f>
        <v/>
      </c>
    </row>
    <row r="149">
      <c r="A149" s="21" t="n"/>
      <c r="B149" s="22" t="n"/>
      <c r="C149" s="23" t="n"/>
      <c r="D149" s="22" t="n"/>
      <c r="E149" s="23" t="n"/>
      <c r="F149" s="22" t="n"/>
      <c r="G149" s="24" t="n"/>
      <c r="H149" s="25" t="n"/>
      <c r="I149" s="26">
        <f>IF(OR($G149="",$H149=""),"",$G149*$H149)</f>
        <v/>
      </c>
    </row>
    <row r="150">
      <c r="A150" s="21" t="n"/>
      <c r="B150" s="22" t="n"/>
      <c r="C150" s="23" t="n"/>
      <c r="D150" s="22" t="n"/>
      <c r="E150" s="23" t="n"/>
      <c r="F150" s="22" t="n"/>
      <c r="G150" s="24" t="n"/>
      <c r="H150" s="25" t="n"/>
      <c r="I150" s="26">
        <f>IF(OR($G150="",$H150=""),"",$G150*$H150)</f>
        <v/>
      </c>
    </row>
    <row r="151">
      <c r="A151" s="21" t="n"/>
      <c r="B151" s="22" t="n"/>
      <c r="C151" s="23" t="n"/>
      <c r="D151" s="22" t="n"/>
      <c r="E151" s="23" t="n"/>
      <c r="F151" s="22" t="n"/>
      <c r="G151" s="24" t="n"/>
      <c r="H151" s="25" t="n"/>
      <c r="I151" s="26">
        <f>IF(OR($G151="",$H151=""),"",$G151*$H151)</f>
        <v/>
      </c>
    </row>
    <row r="152">
      <c r="A152" s="21" t="n"/>
      <c r="B152" s="22" t="n"/>
      <c r="C152" s="23" t="n"/>
      <c r="D152" s="22" t="n"/>
      <c r="E152" s="23" t="n"/>
      <c r="F152" s="22" t="n"/>
      <c r="G152" s="24" t="n"/>
      <c r="H152" s="25" t="n"/>
      <c r="I152" s="26">
        <f>IF(OR($G152="",$H152=""),"",$G152*$H152)</f>
        <v/>
      </c>
    </row>
    <row r="153">
      <c r="A153" s="21" t="n"/>
      <c r="B153" s="22" t="n"/>
      <c r="C153" s="23" t="n"/>
      <c r="D153" s="22" t="n"/>
      <c r="E153" s="23" t="n"/>
      <c r="F153" s="22" t="n"/>
      <c r="G153" s="24" t="n"/>
      <c r="H153" s="25" t="n"/>
      <c r="I153" s="26">
        <f>IF(OR($G153="",$H153=""),"",$G153*$H153)</f>
        <v/>
      </c>
    </row>
    <row r="154">
      <c r="A154" s="21" t="n"/>
      <c r="B154" s="22" t="n"/>
      <c r="C154" s="23" t="n"/>
      <c r="D154" s="22" t="n"/>
      <c r="E154" s="23" t="n"/>
      <c r="F154" s="22" t="n"/>
      <c r="G154" s="24" t="n"/>
      <c r="H154" s="25" t="n"/>
      <c r="I154" s="26">
        <f>IF(OR($G154="",$H154=""),"",$G154*$H154)</f>
        <v/>
      </c>
    </row>
    <row r="155">
      <c r="A155" s="21" t="n"/>
      <c r="B155" s="22" t="n"/>
      <c r="C155" s="23" t="n"/>
      <c r="D155" s="22" t="n"/>
      <c r="E155" s="23" t="n"/>
      <c r="F155" s="22" t="n"/>
      <c r="G155" s="24" t="n"/>
      <c r="H155" s="25" t="n"/>
      <c r="I155" s="26">
        <f>IF(OR($G155="",$H155=""),"",$G155*$H155)</f>
        <v/>
      </c>
    </row>
    <row r="156">
      <c r="A156" s="21" t="n"/>
      <c r="B156" s="22" t="n"/>
      <c r="C156" s="23" t="n"/>
      <c r="D156" s="22" t="n"/>
      <c r="E156" s="23" t="n"/>
      <c r="F156" s="22" t="n"/>
      <c r="G156" s="24" t="n"/>
      <c r="H156" s="25" t="n"/>
      <c r="I156" s="26">
        <f>IF(OR($G156="",$H156=""),"",$G156*$H156)</f>
        <v/>
      </c>
    </row>
    <row r="157">
      <c r="A157" s="21" t="n"/>
      <c r="B157" s="22" t="n"/>
      <c r="C157" s="23" t="n"/>
      <c r="D157" s="22" t="n"/>
      <c r="E157" s="23" t="n"/>
      <c r="F157" s="22" t="n"/>
      <c r="G157" s="24" t="n"/>
      <c r="H157" s="25" t="n"/>
      <c r="I157" s="26">
        <f>IF(OR($G157="",$H157=""),"",$G157*$H157)</f>
        <v/>
      </c>
    </row>
    <row r="158">
      <c r="A158" s="21" t="n"/>
      <c r="B158" s="22" t="n"/>
      <c r="C158" s="23" t="n"/>
      <c r="D158" s="22" t="n"/>
      <c r="E158" s="23" t="n"/>
      <c r="F158" s="22" t="n"/>
      <c r="G158" s="24" t="n"/>
      <c r="H158" s="25" t="n"/>
      <c r="I158" s="26">
        <f>IF(OR($G158="",$H158=""),"",$G158*$H158)</f>
        <v/>
      </c>
    </row>
    <row r="159">
      <c r="A159" s="21" t="n"/>
      <c r="B159" s="22" t="n"/>
      <c r="C159" s="23" t="n"/>
      <c r="D159" s="22" t="n"/>
      <c r="E159" s="23" t="n"/>
      <c r="F159" s="22" t="n"/>
      <c r="G159" s="24" t="n"/>
      <c r="H159" s="25" t="n"/>
      <c r="I159" s="26">
        <f>IF(OR($G159="",$H159=""),"",$G159*$H159)</f>
        <v/>
      </c>
    </row>
    <row r="160">
      <c r="A160" s="21" t="n"/>
      <c r="B160" s="22" t="n"/>
      <c r="C160" s="23" t="n"/>
      <c r="D160" s="22" t="n"/>
      <c r="E160" s="23" t="n"/>
      <c r="F160" s="22" t="n"/>
      <c r="G160" s="24" t="n"/>
      <c r="H160" s="25" t="n"/>
      <c r="I160" s="26">
        <f>IF(OR($G160="",$H160=""),"",$G160*$H160)</f>
        <v/>
      </c>
    </row>
    <row r="161">
      <c r="A161" s="21" t="n"/>
      <c r="B161" s="22" t="n"/>
      <c r="C161" s="23" t="n"/>
      <c r="D161" s="22" t="n"/>
      <c r="E161" s="23" t="n"/>
      <c r="F161" s="22" t="n"/>
      <c r="G161" s="24" t="n"/>
      <c r="H161" s="25" t="n"/>
      <c r="I161" s="26">
        <f>IF(OR($G161="",$H161=""),"",$G161*$H161)</f>
        <v/>
      </c>
    </row>
    <row r="162">
      <c r="A162" s="21" t="n"/>
      <c r="B162" s="22" t="n"/>
      <c r="C162" s="23" t="n"/>
      <c r="D162" s="22" t="n"/>
      <c r="E162" s="23" t="n"/>
      <c r="F162" s="22" t="n"/>
      <c r="G162" s="24" t="n"/>
      <c r="H162" s="25" t="n"/>
      <c r="I162" s="26">
        <f>IF(OR($G162="",$H162=""),"",$G162*$H162)</f>
        <v/>
      </c>
    </row>
    <row r="163">
      <c r="A163" s="21" t="n"/>
      <c r="B163" s="22" t="n"/>
      <c r="C163" s="23" t="n"/>
      <c r="D163" s="22" t="n"/>
      <c r="E163" s="23" t="n"/>
      <c r="F163" s="22" t="n"/>
      <c r="G163" s="24" t="n"/>
      <c r="H163" s="25" t="n"/>
      <c r="I163" s="26">
        <f>IF(OR($G163="",$H163=""),"",$G163*$H163)</f>
        <v/>
      </c>
    </row>
    <row r="164">
      <c r="A164" s="21" t="n"/>
      <c r="B164" s="22" t="n"/>
      <c r="C164" s="23" t="n"/>
      <c r="D164" s="22" t="n"/>
      <c r="E164" s="23" t="n"/>
      <c r="F164" s="22" t="n"/>
      <c r="G164" s="24" t="n"/>
      <c r="H164" s="25" t="n"/>
      <c r="I164" s="26">
        <f>IF(OR($G164="",$H164=""),"",$G164*$H164)</f>
        <v/>
      </c>
    </row>
    <row r="165">
      <c r="A165" s="21" t="n"/>
      <c r="B165" s="22" t="n"/>
      <c r="C165" s="23" t="n"/>
      <c r="D165" s="22" t="n"/>
      <c r="E165" s="23" t="n"/>
      <c r="F165" s="22" t="n"/>
      <c r="G165" s="24" t="n"/>
      <c r="H165" s="25" t="n"/>
      <c r="I165" s="26">
        <f>IF(OR($G165="",$H165=""),"",$G165*$H165)</f>
        <v/>
      </c>
    </row>
    <row r="166">
      <c r="A166" s="21" t="n"/>
      <c r="B166" s="22" t="n"/>
      <c r="C166" s="23" t="n"/>
      <c r="D166" s="22" t="n"/>
      <c r="E166" s="23" t="n"/>
      <c r="F166" s="22" t="n"/>
      <c r="G166" s="24" t="n"/>
      <c r="H166" s="25" t="n"/>
      <c r="I166" s="26">
        <f>IF(OR($G166="",$H166=""),"",$G166*$H166)</f>
        <v/>
      </c>
    </row>
    <row r="167">
      <c r="A167" s="21" t="n"/>
      <c r="B167" s="22" t="n"/>
      <c r="C167" s="23" t="n"/>
      <c r="D167" s="22" t="n"/>
      <c r="E167" s="23" t="n"/>
      <c r="F167" s="22" t="n"/>
      <c r="G167" s="24" t="n"/>
      <c r="H167" s="25" t="n"/>
      <c r="I167" s="26">
        <f>IF(OR($G167="",$H167=""),"",$G167*$H167)</f>
        <v/>
      </c>
    </row>
    <row r="168">
      <c r="A168" s="21" t="n"/>
      <c r="B168" s="22" t="n"/>
      <c r="C168" s="23" t="n"/>
      <c r="D168" s="22" t="n"/>
      <c r="E168" s="23" t="n"/>
      <c r="F168" s="22" t="n"/>
      <c r="G168" s="24" t="n"/>
      <c r="H168" s="25" t="n"/>
      <c r="I168" s="26">
        <f>IF(OR($G168="",$H168=""),"",$G168*$H168)</f>
        <v/>
      </c>
    </row>
    <row r="169">
      <c r="A169" s="21" t="n"/>
      <c r="B169" s="22" t="n"/>
      <c r="C169" s="23" t="n"/>
      <c r="D169" s="22" t="n"/>
      <c r="E169" s="23" t="n"/>
      <c r="F169" s="22" t="n"/>
      <c r="G169" s="24" t="n"/>
      <c r="H169" s="25" t="n"/>
      <c r="I169" s="26">
        <f>IF(OR($G169="",$H169=""),"",$G169*$H169)</f>
        <v/>
      </c>
    </row>
    <row r="170">
      <c r="A170" s="21" t="n"/>
      <c r="B170" s="22" t="n"/>
      <c r="C170" s="23" t="n"/>
      <c r="D170" s="22" t="n"/>
      <c r="E170" s="23" t="n"/>
      <c r="F170" s="22" t="n"/>
      <c r="G170" s="24" t="n"/>
      <c r="H170" s="25" t="n"/>
      <c r="I170" s="26">
        <f>IF(OR($G170="",$H170=""),"",$G170*$H170)</f>
        <v/>
      </c>
    </row>
    <row r="171">
      <c r="A171" s="21" t="n"/>
      <c r="B171" s="22" t="n"/>
      <c r="C171" s="23" t="n"/>
      <c r="D171" s="22" t="n"/>
      <c r="E171" s="23" t="n"/>
      <c r="F171" s="22" t="n"/>
      <c r="G171" s="24" t="n"/>
      <c r="H171" s="25" t="n"/>
      <c r="I171" s="26">
        <f>IF(OR($G171="",$H171=""),"",$G171*$H171)</f>
        <v/>
      </c>
    </row>
    <row r="172">
      <c r="A172" s="21" t="n"/>
      <c r="B172" s="22" t="n"/>
      <c r="C172" s="23" t="n"/>
      <c r="D172" s="22" t="n"/>
      <c r="E172" s="23" t="n"/>
      <c r="F172" s="22" t="n"/>
      <c r="G172" s="24" t="n"/>
      <c r="H172" s="25" t="n"/>
      <c r="I172" s="26">
        <f>IF(OR($G172="",$H172=""),"",$G172*$H172)</f>
        <v/>
      </c>
    </row>
    <row r="173">
      <c r="A173" s="21" t="n"/>
      <c r="B173" s="22" t="n"/>
      <c r="C173" s="23" t="n"/>
      <c r="D173" s="22" t="n"/>
      <c r="E173" s="23" t="n"/>
      <c r="F173" s="22" t="n"/>
      <c r="G173" s="24" t="n"/>
      <c r="H173" s="25" t="n"/>
      <c r="I173" s="26">
        <f>IF(OR($G173="",$H173=""),"",$G173*$H173)</f>
        <v/>
      </c>
    </row>
    <row r="174">
      <c r="A174" s="21" t="n"/>
      <c r="B174" s="22" t="n"/>
      <c r="C174" s="23" t="n"/>
      <c r="D174" s="22" t="n"/>
      <c r="E174" s="23" t="n"/>
      <c r="F174" s="22" t="n"/>
      <c r="G174" s="24" t="n"/>
      <c r="H174" s="25" t="n"/>
      <c r="I174" s="26">
        <f>IF(OR($G174="",$H174=""),"",$G174*$H174)</f>
        <v/>
      </c>
    </row>
    <row r="175">
      <c r="A175" s="21" t="n"/>
      <c r="B175" s="22" t="n"/>
      <c r="C175" s="23" t="n"/>
      <c r="D175" s="22" t="n"/>
      <c r="E175" s="23" t="n"/>
      <c r="F175" s="22" t="n"/>
      <c r="G175" s="24" t="n"/>
      <c r="H175" s="25" t="n"/>
      <c r="I175" s="26">
        <f>IF(OR($G175="",$H175=""),"",$G175*$H175)</f>
        <v/>
      </c>
    </row>
    <row r="176">
      <c r="A176" s="21" t="n"/>
      <c r="B176" s="22" t="n"/>
      <c r="C176" s="23" t="n"/>
      <c r="D176" s="22" t="n"/>
      <c r="E176" s="23" t="n"/>
      <c r="F176" s="22" t="n"/>
      <c r="G176" s="24" t="n"/>
      <c r="H176" s="25" t="n"/>
      <c r="I176" s="26">
        <f>IF(OR($G176="",$H176=""),"",$G176*$H176)</f>
        <v/>
      </c>
    </row>
    <row r="177">
      <c r="A177" s="21" t="n"/>
      <c r="B177" s="22" t="n"/>
      <c r="C177" s="23" t="n"/>
      <c r="D177" s="22" t="n"/>
      <c r="E177" s="23" t="n"/>
      <c r="F177" s="22" t="n"/>
      <c r="G177" s="24" t="n"/>
      <c r="H177" s="25" t="n"/>
      <c r="I177" s="26">
        <f>IF(OR($G177="",$H177=""),"",$G177*$H177)</f>
        <v/>
      </c>
    </row>
    <row r="178">
      <c r="A178" s="21" t="n"/>
      <c r="B178" s="22" t="n"/>
      <c r="C178" s="23" t="n"/>
      <c r="D178" s="22" t="n"/>
      <c r="E178" s="23" t="n"/>
      <c r="F178" s="22" t="n"/>
      <c r="G178" s="24" t="n"/>
      <c r="H178" s="25" t="n"/>
      <c r="I178" s="26">
        <f>IF(OR($G178="",$H178=""),"",$G178*$H178)</f>
        <v/>
      </c>
    </row>
    <row r="179">
      <c r="A179" s="21" t="n"/>
      <c r="B179" s="22" t="n"/>
      <c r="C179" s="23" t="n"/>
      <c r="D179" s="22" t="n"/>
      <c r="E179" s="23" t="n"/>
      <c r="F179" s="22" t="n"/>
      <c r="G179" s="24" t="n"/>
      <c r="H179" s="25" t="n"/>
      <c r="I179" s="26">
        <f>IF(OR($G179="",$H179=""),"",$G179*$H179)</f>
        <v/>
      </c>
    </row>
    <row r="180">
      <c r="A180" s="21" t="n"/>
      <c r="B180" s="22" t="n"/>
      <c r="C180" s="23" t="n"/>
      <c r="D180" s="22" t="n"/>
      <c r="E180" s="23" t="n"/>
      <c r="F180" s="22" t="n"/>
      <c r="G180" s="24" t="n"/>
      <c r="H180" s="25" t="n"/>
      <c r="I180" s="26">
        <f>IF(OR($G180="",$H180=""),"",$G180*$H180)</f>
        <v/>
      </c>
    </row>
    <row r="181">
      <c r="A181" s="21" t="n"/>
      <c r="B181" s="22" t="n"/>
      <c r="C181" s="23" t="n"/>
      <c r="D181" s="22" t="n"/>
      <c r="E181" s="23" t="n"/>
      <c r="F181" s="22" t="n"/>
      <c r="G181" s="24" t="n"/>
      <c r="H181" s="25" t="n"/>
      <c r="I181" s="26">
        <f>IF(OR($G181="",$H181=""),"",$G181*$H181)</f>
        <v/>
      </c>
    </row>
    <row r="182">
      <c r="A182" s="21" t="n"/>
      <c r="B182" s="22" t="n"/>
      <c r="C182" s="23" t="n"/>
      <c r="D182" s="22" t="n"/>
      <c r="E182" s="23" t="n"/>
      <c r="F182" s="22" t="n"/>
      <c r="G182" s="24" t="n"/>
      <c r="H182" s="25" t="n"/>
      <c r="I182" s="26">
        <f>IF(OR($G182="",$H182=""),"",$G182*$H182)</f>
        <v/>
      </c>
    </row>
    <row r="183">
      <c r="A183" s="21" t="n"/>
      <c r="B183" s="22" t="n"/>
      <c r="C183" s="23" t="n"/>
      <c r="D183" s="22" t="n"/>
      <c r="E183" s="23" t="n"/>
      <c r="F183" s="22" t="n"/>
      <c r="G183" s="24" t="n"/>
      <c r="H183" s="25" t="n"/>
      <c r="I183" s="26">
        <f>IF(OR($G183="",$H183=""),"",$G183*$H183)</f>
        <v/>
      </c>
    </row>
    <row r="184">
      <c r="A184" s="21" t="n"/>
      <c r="B184" s="22" t="n"/>
      <c r="C184" s="23" t="n"/>
      <c r="D184" s="22" t="n"/>
      <c r="E184" s="23" t="n"/>
      <c r="F184" s="22" t="n"/>
      <c r="G184" s="24" t="n"/>
      <c r="H184" s="25" t="n"/>
      <c r="I184" s="26">
        <f>IF(OR($G184="",$H184=""),"",$G184*$H184)</f>
        <v/>
      </c>
    </row>
    <row r="185">
      <c r="A185" s="21" t="n"/>
      <c r="B185" s="22" t="n"/>
      <c r="C185" s="23" t="n"/>
      <c r="D185" s="22" t="n"/>
      <c r="E185" s="23" t="n"/>
      <c r="F185" s="22" t="n"/>
      <c r="G185" s="24" t="n"/>
      <c r="H185" s="25" t="n"/>
      <c r="I185" s="26">
        <f>IF(OR($G185="",$H185=""),"",$G185*$H185)</f>
        <v/>
      </c>
    </row>
    <row r="186">
      <c r="A186" s="21" t="n"/>
      <c r="B186" s="22" t="n"/>
      <c r="C186" s="23" t="n"/>
      <c r="D186" s="22" t="n"/>
      <c r="E186" s="23" t="n"/>
      <c r="F186" s="22" t="n"/>
      <c r="G186" s="24" t="n"/>
      <c r="H186" s="25" t="n"/>
      <c r="I186" s="26">
        <f>IF(OR($G186="",$H186=""),"",$G186*$H186)</f>
        <v/>
      </c>
    </row>
    <row r="187">
      <c r="A187" s="21" t="n"/>
      <c r="B187" s="22" t="n"/>
      <c r="C187" s="23" t="n"/>
      <c r="D187" s="22" t="n"/>
      <c r="E187" s="23" t="n"/>
      <c r="F187" s="22" t="n"/>
      <c r="G187" s="24" t="n"/>
      <c r="H187" s="25" t="n"/>
      <c r="I187" s="26">
        <f>IF(OR($G187="",$H187=""),"",$G187*$H187)</f>
        <v/>
      </c>
    </row>
    <row r="188">
      <c r="A188" s="21" t="n"/>
      <c r="B188" s="22" t="n"/>
      <c r="C188" s="23" t="n"/>
      <c r="D188" s="22" t="n"/>
      <c r="E188" s="23" t="n"/>
      <c r="F188" s="22" t="n"/>
      <c r="G188" s="24" t="n"/>
      <c r="H188" s="25" t="n"/>
      <c r="I188" s="26">
        <f>IF(OR($G188="",$H188=""),"",$G188*$H188)</f>
        <v/>
      </c>
    </row>
    <row r="189">
      <c r="A189" s="21" t="n"/>
      <c r="B189" s="22" t="n"/>
      <c r="C189" s="23" t="n"/>
      <c r="D189" s="22" t="n"/>
      <c r="E189" s="23" t="n"/>
      <c r="F189" s="22" t="n"/>
      <c r="G189" s="24" t="n"/>
      <c r="H189" s="25" t="n"/>
      <c r="I189" s="26">
        <f>IF(OR($G189="",$H189=""),"",$G189*$H189)</f>
        <v/>
      </c>
    </row>
    <row r="190">
      <c r="A190" s="21" t="n"/>
      <c r="B190" s="22" t="n"/>
      <c r="C190" s="23" t="n"/>
      <c r="D190" s="22" t="n"/>
      <c r="E190" s="23" t="n"/>
      <c r="F190" s="22" t="n"/>
      <c r="G190" s="24" t="n"/>
      <c r="H190" s="25" t="n"/>
      <c r="I190" s="26">
        <f>IF(OR($G190="",$H190=""),"",$G190*$H190)</f>
        <v/>
      </c>
    </row>
    <row r="191">
      <c r="A191" s="21" t="n"/>
      <c r="B191" s="22" t="n"/>
      <c r="C191" s="23" t="n"/>
      <c r="D191" s="22" t="n"/>
      <c r="E191" s="23" t="n"/>
      <c r="F191" s="22" t="n"/>
      <c r="G191" s="24" t="n"/>
      <c r="H191" s="25" t="n"/>
      <c r="I191" s="26">
        <f>IF(OR($G191="",$H191=""),"",$G191*$H191)</f>
        <v/>
      </c>
    </row>
    <row r="192">
      <c r="A192" s="21" t="n"/>
      <c r="B192" s="22" t="n"/>
      <c r="C192" s="23" t="n"/>
      <c r="D192" s="22" t="n"/>
      <c r="E192" s="23" t="n"/>
      <c r="F192" s="22" t="n"/>
      <c r="G192" s="24" t="n"/>
      <c r="H192" s="25" t="n"/>
      <c r="I192" s="26">
        <f>IF(OR($G192="",$H192=""),"",$G192*$H192)</f>
        <v/>
      </c>
    </row>
    <row r="193">
      <c r="A193" s="21" t="n"/>
      <c r="B193" s="22" t="n"/>
      <c r="C193" s="23" t="n"/>
      <c r="D193" s="22" t="n"/>
      <c r="E193" s="23" t="n"/>
      <c r="F193" s="22" t="n"/>
      <c r="G193" s="24" t="n"/>
      <c r="H193" s="25" t="n"/>
      <c r="I193" s="26">
        <f>IF(OR($G193="",$H193=""),"",$G193*$H193)</f>
        <v/>
      </c>
    </row>
    <row r="194">
      <c r="A194" s="21" t="n"/>
      <c r="B194" s="22" t="n"/>
      <c r="C194" s="23" t="n"/>
      <c r="D194" s="22" t="n"/>
      <c r="E194" s="23" t="n"/>
      <c r="F194" s="22" t="n"/>
      <c r="G194" s="24" t="n"/>
      <c r="H194" s="25" t="n"/>
      <c r="I194" s="26">
        <f>IF(OR($G194="",$H194=""),"",$G194*$H194)</f>
        <v/>
      </c>
    </row>
    <row r="195">
      <c r="A195" s="21" t="n"/>
      <c r="B195" s="22" t="n"/>
      <c r="C195" s="23" t="n"/>
      <c r="D195" s="22" t="n"/>
      <c r="E195" s="23" t="n"/>
      <c r="F195" s="22" t="n"/>
      <c r="G195" s="24" t="n"/>
      <c r="H195" s="25" t="n"/>
      <c r="I195" s="26">
        <f>IF(OR($G195="",$H195=""),"",$G195*$H195)</f>
        <v/>
      </c>
    </row>
    <row r="196">
      <c r="A196" s="21" t="n"/>
      <c r="B196" s="22" t="n"/>
      <c r="C196" s="23" t="n"/>
      <c r="D196" s="22" t="n"/>
      <c r="E196" s="23" t="n"/>
      <c r="F196" s="22" t="n"/>
      <c r="G196" s="24" t="n"/>
      <c r="H196" s="25" t="n"/>
      <c r="I196" s="26">
        <f>IF(OR($G196="",$H196=""),"",$G196*$H196)</f>
        <v/>
      </c>
    </row>
    <row r="197">
      <c r="A197" s="21" t="n"/>
      <c r="B197" s="22" t="n"/>
      <c r="C197" s="23" t="n"/>
      <c r="D197" s="22" t="n"/>
      <c r="E197" s="23" t="n"/>
      <c r="F197" s="22" t="n"/>
      <c r="G197" s="24" t="n"/>
      <c r="H197" s="25" t="n"/>
      <c r="I197" s="26">
        <f>IF(OR($G197="",$H197=""),"",$G197*$H197)</f>
        <v/>
      </c>
    </row>
    <row r="198">
      <c r="A198" s="21" t="n"/>
      <c r="B198" s="22" t="n"/>
      <c r="C198" s="23" t="n"/>
      <c r="D198" s="22" t="n"/>
      <c r="E198" s="23" t="n"/>
      <c r="F198" s="22" t="n"/>
      <c r="G198" s="24" t="n"/>
      <c r="H198" s="25" t="n"/>
      <c r="I198" s="26">
        <f>IF(OR($G198="",$H198=""),"",$G198*$H198)</f>
        <v/>
      </c>
    </row>
    <row r="199">
      <c r="A199" s="21" t="n"/>
      <c r="B199" s="22" t="n"/>
      <c r="C199" s="23" t="n"/>
      <c r="D199" s="22" t="n"/>
      <c r="E199" s="23" t="n"/>
      <c r="F199" s="22" t="n"/>
      <c r="G199" s="24" t="n"/>
      <c r="H199" s="25" t="n"/>
      <c r="I199" s="26">
        <f>IF(OR($G199="",$H199=""),"",$G199*$H199)</f>
        <v/>
      </c>
    </row>
    <row r="200">
      <c r="A200" s="21" t="n"/>
      <c r="B200" s="22" t="n"/>
      <c r="C200" s="23" t="n"/>
      <c r="D200" s="22" t="n"/>
      <c r="E200" s="23" t="n"/>
      <c r="F200" s="22" t="n"/>
      <c r="G200" s="24" t="n"/>
      <c r="H200" s="25" t="n"/>
      <c r="I200" s="26">
        <f>IF(OR($G200="",$H200=""),"",$G200*$H200)</f>
        <v/>
      </c>
    </row>
    <row r="201">
      <c r="A201" s="21" t="n"/>
      <c r="B201" s="22" t="n"/>
      <c r="C201" s="23" t="n"/>
      <c r="D201" s="22" t="n"/>
      <c r="E201" s="23" t="n"/>
      <c r="F201" s="22" t="n"/>
      <c r="G201" s="24" t="n"/>
      <c r="H201" s="25" t="n"/>
      <c r="I201" s="26">
        <f>IF(OR($G201="",$H201=""),"",$G201*$H201)</f>
        <v/>
      </c>
    </row>
    <row r="202">
      <c r="A202" s="21" t="n"/>
      <c r="B202" s="22" t="n"/>
      <c r="C202" s="23" t="n"/>
      <c r="D202" s="22" t="n"/>
      <c r="E202" s="23" t="n"/>
      <c r="F202" s="22" t="n"/>
      <c r="G202" s="24" t="n"/>
      <c r="H202" s="25" t="n"/>
      <c r="I202" s="26">
        <f>IF(OR($G202="",$H202=""),"",$G202*$H202)</f>
        <v/>
      </c>
    </row>
    <row r="203">
      <c r="A203" s="21" t="n"/>
      <c r="B203" s="22" t="n"/>
      <c r="C203" s="23" t="n"/>
      <c r="D203" s="22" t="n"/>
      <c r="E203" s="23" t="n"/>
      <c r="F203" s="22" t="n"/>
      <c r="G203" s="24" t="n"/>
      <c r="H203" s="25" t="n"/>
      <c r="I203" s="26">
        <f>IF(OR($G203="",$H203=""),"",$G203*$H203)</f>
        <v/>
      </c>
    </row>
    <row r="204">
      <c r="A204" s="21" t="n"/>
      <c r="B204" s="22" t="n"/>
      <c r="C204" s="23" t="n"/>
      <c r="D204" s="22" t="n"/>
      <c r="E204" s="23" t="n"/>
      <c r="F204" s="22" t="n"/>
      <c r="G204" s="24" t="n"/>
      <c r="H204" s="25" t="n"/>
      <c r="I204" s="26">
        <f>IF(OR($G204="",$H204=""),"",$G204*$H204)</f>
        <v/>
      </c>
    </row>
    <row r="205">
      <c r="A205" s="21" t="n"/>
      <c r="B205" s="22" t="n"/>
      <c r="C205" s="23" t="n"/>
      <c r="D205" s="22" t="n"/>
      <c r="E205" s="23" t="n"/>
      <c r="F205" s="22" t="n"/>
      <c r="G205" s="24" t="n"/>
      <c r="H205" s="25" t="n"/>
      <c r="I205" s="26">
        <f>IF(OR($G205="",$H205=""),"",$G205*$H205)</f>
        <v/>
      </c>
    </row>
    <row r="206">
      <c r="A206" s="21" t="n"/>
      <c r="B206" s="22" t="n"/>
      <c r="C206" s="23" t="n"/>
      <c r="D206" s="22" t="n"/>
      <c r="E206" s="23" t="n"/>
      <c r="F206" s="22" t="n"/>
      <c r="G206" s="24" t="n"/>
      <c r="H206" s="25" t="n"/>
      <c r="I206" s="26">
        <f>IF(OR($G206="",$H206=""),"",$G206*$H206)</f>
        <v/>
      </c>
    </row>
    <row r="207">
      <c r="A207" s="21" t="n"/>
      <c r="B207" s="22" t="n"/>
      <c r="C207" s="23" t="n"/>
      <c r="D207" s="22" t="n"/>
      <c r="E207" s="23" t="n"/>
      <c r="F207" s="22" t="n"/>
      <c r="G207" s="24" t="n"/>
      <c r="H207" s="25" t="n"/>
      <c r="I207" s="26">
        <f>IF(OR($G207="",$H207=""),"",$G207*$H207)</f>
        <v/>
      </c>
    </row>
    <row r="208">
      <c r="A208" s="21" t="n"/>
      <c r="B208" s="22" t="n"/>
      <c r="C208" s="23" t="n"/>
      <c r="D208" s="22" t="n"/>
      <c r="E208" s="23" t="n"/>
      <c r="F208" s="22" t="n"/>
      <c r="G208" s="24" t="n"/>
      <c r="H208" s="25" t="n"/>
      <c r="I208" s="26">
        <f>IF(OR($G208="",$H208=""),"",$G208*$H208)</f>
        <v/>
      </c>
    </row>
    <row r="209">
      <c r="A209" s="21" t="n"/>
      <c r="B209" s="22" t="n"/>
      <c r="C209" s="23" t="n"/>
      <c r="D209" s="22" t="n"/>
      <c r="E209" s="23" t="n"/>
      <c r="F209" s="22" t="n"/>
      <c r="G209" s="24" t="n"/>
      <c r="H209" s="25" t="n"/>
      <c r="I209" s="26">
        <f>IF(OR($G209="",$H209=""),"",$G209*$H209)</f>
        <v/>
      </c>
    </row>
    <row r="210">
      <c r="A210" s="21" t="n"/>
      <c r="B210" s="22" t="n"/>
      <c r="C210" s="23" t="n"/>
      <c r="D210" s="22" t="n"/>
      <c r="E210" s="23" t="n"/>
      <c r="F210" s="22" t="n"/>
      <c r="G210" s="24" t="n"/>
      <c r="H210" s="25" t="n"/>
      <c r="I210" s="26">
        <f>IF(OR($G210="",$H210=""),"",$G210*$H210)</f>
        <v/>
      </c>
    </row>
    <row r="211">
      <c r="A211" s="21" t="n"/>
      <c r="B211" s="22" t="n"/>
      <c r="C211" s="23" t="n"/>
      <c r="D211" s="22" t="n"/>
      <c r="E211" s="23" t="n"/>
      <c r="F211" s="22" t="n"/>
      <c r="G211" s="24" t="n"/>
      <c r="H211" s="25" t="n"/>
      <c r="I211" s="26">
        <f>IF(OR($G211="",$H211=""),"",$G211*$H211)</f>
        <v/>
      </c>
    </row>
    <row r="212">
      <c r="A212" s="21" t="n"/>
      <c r="B212" s="22" t="n"/>
      <c r="C212" s="23" t="n"/>
      <c r="D212" s="22" t="n"/>
      <c r="E212" s="23" t="n"/>
      <c r="F212" s="22" t="n"/>
      <c r="G212" s="24" t="n"/>
      <c r="H212" s="25" t="n"/>
      <c r="I212" s="26">
        <f>IF(OR($G212="",$H212=""),"",$G212*$H212)</f>
        <v/>
      </c>
    </row>
    <row r="213">
      <c r="A213" s="21" t="n"/>
      <c r="B213" s="22" t="n"/>
      <c r="C213" s="23" t="n"/>
      <c r="D213" s="22" t="n"/>
      <c r="E213" s="23" t="n"/>
      <c r="F213" s="22" t="n"/>
      <c r="G213" s="24" t="n"/>
      <c r="H213" s="25" t="n"/>
      <c r="I213" s="26">
        <f>IF(OR($G213="",$H213=""),"",$G213*$H213)</f>
        <v/>
      </c>
    </row>
    <row r="214">
      <c r="A214" s="21" t="n"/>
      <c r="B214" s="22" t="n"/>
      <c r="C214" s="23" t="n"/>
      <c r="D214" s="22" t="n"/>
      <c r="E214" s="23" t="n"/>
      <c r="F214" s="22" t="n"/>
      <c r="G214" s="24" t="n"/>
      <c r="H214" s="25" t="n"/>
      <c r="I214" s="26">
        <f>IF(OR($G214="",$H214=""),"",$G214*$H214)</f>
        <v/>
      </c>
    </row>
    <row r="215">
      <c r="A215" s="21" t="n"/>
      <c r="B215" s="22" t="n"/>
      <c r="C215" s="23" t="n"/>
      <c r="D215" s="22" t="n"/>
      <c r="E215" s="23" t="n"/>
      <c r="F215" s="22" t="n"/>
      <c r="G215" s="24" t="n"/>
      <c r="H215" s="25" t="n"/>
      <c r="I215" s="26">
        <f>IF(OR($G215="",$H215=""),"",$G215*$H215)</f>
        <v/>
      </c>
    </row>
    <row r="216">
      <c r="A216" s="21" t="n"/>
      <c r="B216" s="22" t="n"/>
      <c r="C216" s="23" t="n"/>
      <c r="D216" s="22" t="n"/>
      <c r="E216" s="23" t="n"/>
      <c r="F216" s="22" t="n"/>
      <c r="G216" s="24" t="n"/>
      <c r="H216" s="25" t="n"/>
      <c r="I216" s="26">
        <f>IF(OR($G216="",$H216=""),"",$G216*$H216)</f>
        <v/>
      </c>
    </row>
    <row r="217">
      <c r="A217" s="21" t="n"/>
      <c r="B217" s="22" t="n"/>
      <c r="C217" s="23" t="n"/>
      <c r="D217" s="22" t="n"/>
      <c r="E217" s="23" t="n"/>
      <c r="F217" s="22" t="n"/>
      <c r="G217" s="24" t="n"/>
      <c r="H217" s="25" t="n"/>
      <c r="I217" s="26">
        <f>IF(OR($G217="",$H217=""),"",$G217*$H217)</f>
        <v/>
      </c>
    </row>
    <row r="218">
      <c r="A218" s="21" t="n"/>
      <c r="B218" s="22" t="n"/>
      <c r="C218" s="23" t="n"/>
      <c r="D218" s="22" t="n"/>
      <c r="E218" s="23" t="n"/>
      <c r="F218" s="22" t="n"/>
      <c r="G218" s="24" t="n"/>
      <c r="H218" s="25" t="n"/>
      <c r="I218" s="26">
        <f>IF(OR($G218="",$H218=""),"",$G218*$H218)</f>
        <v/>
      </c>
    </row>
    <row r="219">
      <c r="A219" s="21" t="n"/>
      <c r="B219" s="22" t="n"/>
      <c r="C219" s="23" t="n"/>
      <c r="D219" s="22" t="n"/>
      <c r="E219" s="23" t="n"/>
      <c r="F219" s="22" t="n"/>
      <c r="G219" s="24" t="n"/>
      <c r="H219" s="25" t="n"/>
      <c r="I219" s="26">
        <f>IF(OR($G219="",$H219=""),"",$G219*$H219)</f>
        <v/>
      </c>
    </row>
    <row r="220">
      <c r="A220" s="21" t="n"/>
      <c r="B220" s="22" t="n"/>
      <c r="C220" s="23" t="n"/>
      <c r="D220" s="22" t="n"/>
      <c r="E220" s="23" t="n"/>
      <c r="F220" s="22" t="n"/>
      <c r="G220" s="24" t="n"/>
      <c r="H220" s="25" t="n"/>
      <c r="I220" s="26">
        <f>IF(OR($G220="",$H220=""),"",$G220*$H220)</f>
        <v/>
      </c>
    </row>
    <row r="221">
      <c r="A221" s="21" t="n"/>
      <c r="B221" s="22" t="n"/>
      <c r="C221" s="23" t="n"/>
      <c r="D221" s="22" t="n"/>
      <c r="E221" s="23" t="n"/>
      <c r="F221" s="22" t="n"/>
      <c r="G221" s="24" t="n"/>
      <c r="H221" s="25" t="n"/>
      <c r="I221" s="26">
        <f>IF(OR($G221="",$H221=""),"",$G221*$H221)</f>
        <v/>
      </c>
    </row>
    <row r="222">
      <c r="A222" s="21" t="n"/>
      <c r="B222" s="22" t="n"/>
      <c r="C222" s="23" t="n"/>
      <c r="D222" s="22" t="n"/>
      <c r="E222" s="23" t="n"/>
      <c r="F222" s="22" t="n"/>
      <c r="G222" s="24" t="n"/>
      <c r="H222" s="25" t="n"/>
      <c r="I222" s="26">
        <f>IF(OR($G222="",$H222=""),"",$G222*$H222)</f>
        <v/>
      </c>
    </row>
    <row r="223">
      <c r="A223" s="21" t="n"/>
      <c r="B223" s="22" t="n"/>
      <c r="C223" s="23" t="n"/>
      <c r="D223" s="22" t="n"/>
      <c r="E223" s="23" t="n"/>
      <c r="F223" s="22" t="n"/>
      <c r="G223" s="24" t="n"/>
      <c r="H223" s="25" t="n"/>
      <c r="I223" s="26">
        <f>IF(OR($G223="",$H223=""),"",$G223*$H223)</f>
        <v/>
      </c>
    </row>
    <row r="224">
      <c r="A224" s="21" t="n"/>
      <c r="B224" s="22" t="n"/>
      <c r="C224" s="23" t="n"/>
      <c r="D224" s="22" t="n"/>
      <c r="E224" s="23" t="n"/>
      <c r="F224" s="22" t="n"/>
      <c r="G224" s="24" t="n"/>
      <c r="H224" s="25" t="n"/>
      <c r="I224" s="26">
        <f>IF(OR($G224="",$H224=""),"",$G224*$H224)</f>
        <v/>
      </c>
    </row>
    <row r="225">
      <c r="A225" s="21" t="n"/>
      <c r="B225" s="22" t="n"/>
      <c r="C225" s="23" t="n"/>
      <c r="D225" s="22" t="n"/>
      <c r="E225" s="23" t="n"/>
      <c r="F225" s="22" t="n"/>
      <c r="G225" s="24" t="n"/>
      <c r="H225" s="25" t="n"/>
      <c r="I225" s="26">
        <f>IF(OR($G225="",$H225=""),"",$G225*$H225)</f>
        <v/>
      </c>
    </row>
    <row r="226">
      <c r="A226" s="21" t="n"/>
      <c r="B226" s="22" t="n"/>
      <c r="C226" s="23" t="n"/>
      <c r="D226" s="22" t="n"/>
      <c r="E226" s="23" t="n"/>
      <c r="F226" s="22" t="n"/>
      <c r="G226" s="24" t="n"/>
      <c r="H226" s="25" t="n"/>
      <c r="I226" s="26">
        <f>IF(OR($G226="",$H226=""),"",$G226*$H226)</f>
        <v/>
      </c>
    </row>
    <row r="227">
      <c r="A227" s="21" t="n"/>
      <c r="B227" s="22" t="n"/>
      <c r="C227" s="23" t="n"/>
      <c r="D227" s="22" t="n"/>
      <c r="E227" s="23" t="n"/>
      <c r="F227" s="22" t="n"/>
      <c r="G227" s="24" t="n"/>
      <c r="H227" s="25" t="n"/>
      <c r="I227" s="26">
        <f>IF(OR($G227="",$H227=""),"",$G227*$H227)</f>
        <v/>
      </c>
    </row>
    <row r="228">
      <c r="A228" s="21" t="n"/>
      <c r="B228" s="22" t="n"/>
      <c r="C228" s="23" t="n"/>
      <c r="D228" s="22" t="n"/>
      <c r="E228" s="23" t="n"/>
      <c r="F228" s="22" t="n"/>
      <c r="G228" s="24" t="n"/>
      <c r="H228" s="25" t="n"/>
      <c r="I228" s="26">
        <f>IF(OR($G228="",$H228=""),"",$G228*$H228)</f>
        <v/>
      </c>
    </row>
    <row r="229">
      <c r="A229" s="21" t="n"/>
      <c r="B229" s="22" t="n"/>
      <c r="C229" s="23" t="n"/>
      <c r="D229" s="22" t="n"/>
      <c r="E229" s="23" t="n"/>
      <c r="F229" s="22" t="n"/>
      <c r="G229" s="24" t="n"/>
      <c r="H229" s="25" t="n"/>
      <c r="I229" s="26">
        <f>IF(OR($G229="",$H229=""),"",$G229*$H229)</f>
        <v/>
      </c>
    </row>
    <row r="230">
      <c r="A230" s="21" t="n"/>
      <c r="B230" s="22" t="n"/>
      <c r="C230" s="23" t="n"/>
      <c r="D230" s="22" t="n"/>
      <c r="E230" s="23" t="n"/>
      <c r="F230" s="22" t="n"/>
      <c r="G230" s="24" t="n"/>
      <c r="H230" s="25" t="n"/>
      <c r="I230" s="26">
        <f>IF(OR($G230="",$H230=""),"",$G230*$H230)</f>
        <v/>
      </c>
    </row>
    <row r="231">
      <c r="A231" s="21" t="n"/>
      <c r="B231" s="22" t="n"/>
      <c r="C231" s="23" t="n"/>
      <c r="D231" s="22" t="n"/>
      <c r="E231" s="23" t="n"/>
      <c r="F231" s="22" t="n"/>
      <c r="G231" s="24" t="n"/>
      <c r="H231" s="25" t="n"/>
      <c r="I231" s="26">
        <f>IF(OR($G231="",$H231=""),"",$G231*$H231)</f>
        <v/>
      </c>
    </row>
    <row r="232">
      <c r="A232" s="21" t="n"/>
      <c r="B232" s="22" t="n"/>
      <c r="C232" s="23" t="n"/>
      <c r="D232" s="22" t="n"/>
      <c r="E232" s="23" t="n"/>
      <c r="F232" s="22" t="n"/>
      <c r="G232" s="24" t="n"/>
      <c r="H232" s="25" t="n"/>
      <c r="I232" s="26">
        <f>IF(OR($G232="",$H232=""),"",$G232*$H232)</f>
        <v/>
      </c>
    </row>
    <row r="233">
      <c r="A233" s="21" t="n"/>
      <c r="B233" s="22" t="n"/>
      <c r="C233" s="23" t="n"/>
      <c r="D233" s="22" t="n"/>
      <c r="E233" s="23" t="n"/>
      <c r="F233" s="22" t="n"/>
      <c r="G233" s="24" t="n"/>
      <c r="H233" s="25" t="n"/>
      <c r="I233" s="26">
        <f>IF(OR($G233="",$H233=""),"",$G233*$H233)</f>
        <v/>
      </c>
    </row>
    <row r="234">
      <c r="A234" s="21" t="n"/>
      <c r="B234" s="22" t="n"/>
      <c r="C234" s="23" t="n"/>
      <c r="D234" s="22" t="n"/>
      <c r="E234" s="23" t="n"/>
      <c r="F234" s="22" t="n"/>
      <c r="G234" s="24" t="n"/>
      <c r="H234" s="25" t="n"/>
      <c r="I234" s="26">
        <f>IF(OR($G234="",$H234=""),"",$G234*$H234)</f>
        <v/>
      </c>
    </row>
    <row r="235">
      <c r="A235" s="21" t="n"/>
      <c r="B235" s="22" t="n"/>
      <c r="C235" s="23" t="n"/>
      <c r="D235" s="22" t="n"/>
      <c r="E235" s="23" t="n"/>
      <c r="F235" s="22" t="n"/>
      <c r="G235" s="24" t="n"/>
      <c r="H235" s="25" t="n"/>
      <c r="I235" s="26">
        <f>IF(OR($G235="",$H235=""),"",$G235*$H235)</f>
        <v/>
      </c>
    </row>
    <row r="236">
      <c r="A236" s="21" t="n"/>
      <c r="B236" s="22" t="n"/>
      <c r="C236" s="23" t="n"/>
      <c r="D236" s="22" t="n"/>
      <c r="E236" s="23" t="n"/>
      <c r="F236" s="22" t="n"/>
      <c r="G236" s="24" t="n"/>
      <c r="H236" s="25" t="n"/>
      <c r="I236" s="26">
        <f>IF(OR($G236="",$H236=""),"",$G236*$H236)</f>
        <v/>
      </c>
    </row>
    <row r="237">
      <c r="A237" s="21" t="n"/>
      <c r="B237" s="22" t="n"/>
      <c r="C237" s="23" t="n"/>
      <c r="D237" s="22" t="n"/>
      <c r="E237" s="23" t="n"/>
      <c r="F237" s="22" t="n"/>
      <c r="G237" s="24" t="n"/>
      <c r="H237" s="25" t="n"/>
      <c r="I237" s="26">
        <f>IF(OR($G237="",$H237=""),"",$G237*$H237)</f>
        <v/>
      </c>
    </row>
    <row r="238">
      <c r="A238" s="21" t="n"/>
      <c r="B238" s="22" t="n"/>
      <c r="C238" s="23" t="n"/>
      <c r="D238" s="22" t="n"/>
      <c r="E238" s="23" t="n"/>
      <c r="F238" s="22" t="n"/>
      <c r="G238" s="24" t="n"/>
      <c r="H238" s="25" t="n"/>
      <c r="I238" s="26">
        <f>IF(OR($G238="",$H238=""),"",$G238*$H238)</f>
        <v/>
      </c>
    </row>
    <row r="239">
      <c r="A239" s="21" t="n"/>
      <c r="B239" s="22" t="n"/>
      <c r="C239" s="23" t="n"/>
      <c r="D239" s="22" t="n"/>
      <c r="E239" s="23" t="n"/>
      <c r="F239" s="22" t="n"/>
      <c r="G239" s="24" t="n"/>
      <c r="H239" s="25" t="n"/>
      <c r="I239" s="26">
        <f>IF(OR($G239="",$H239=""),"",$G239*$H239)</f>
        <v/>
      </c>
    </row>
    <row r="240">
      <c r="A240" s="21" t="n"/>
      <c r="B240" s="22" t="n"/>
      <c r="C240" s="23" t="n"/>
      <c r="D240" s="22" t="n"/>
      <c r="E240" s="23" t="n"/>
      <c r="F240" s="22" t="n"/>
      <c r="G240" s="24" t="n"/>
      <c r="H240" s="25" t="n"/>
      <c r="I240" s="26">
        <f>IF(OR($G240="",$H240=""),"",$G240*$H240)</f>
        <v/>
      </c>
    </row>
    <row r="241">
      <c r="A241" s="21" t="n"/>
      <c r="B241" s="22" t="n"/>
      <c r="C241" s="23" t="n"/>
      <c r="D241" s="22" t="n"/>
      <c r="E241" s="23" t="n"/>
      <c r="F241" s="22" t="n"/>
      <c r="G241" s="24" t="n"/>
      <c r="H241" s="25" t="n"/>
      <c r="I241" s="26">
        <f>IF(OR($G241="",$H241=""),"",$G241*$H241)</f>
        <v/>
      </c>
    </row>
    <row r="242">
      <c r="A242" s="21" t="n"/>
      <c r="B242" s="22" t="n"/>
      <c r="C242" s="23" t="n"/>
      <c r="D242" s="22" t="n"/>
      <c r="E242" s="23" t="n"/>
      <c r="F242" s="22" t="n"/>
      <c r="G242" s="24" t="n"/>
      <c r="H242" s="25" t="n"/>
      <c r="I242" s="26">
        <f>IF(OR($G242="",$H242=""),"",$G242*$H242)</f>
        <v/>
      </c>
    </row>
    <row r="243">
      <c r="A243" s="21" t="n"/>
      <c r="B243" s="22" t="n"/>
      <c r="C243" s="23" t="n"/>
      <c r="D243" s="22" t="n"/>
      <c r="E243" s="23" t="n"/>
      <c r="F243" s="22" t="n"/>
      <c r="G243" s="24" t="n"/>
      <c r="H243" s="25" t="n"/>
      <c r="I243" s="26">
        <f>IF(OR($G243="",$H243=""),"",$G243*$H243)</f>
        <v/>
      </c>
    </row>
    <row r="244">
      <c r="A244" s="21" t="n"/>
      <c r="B244" s="22" t="n"/>
      <c r="C244" s="23" t="n"/>
      <c r="D244" s="22" t="n"/>
      <c r="E244" s="23" t="n"/>
      <c r="F244" s="22" t="n"/>
      <c r="G244" s="24" t="n"/>
      <c r="H244" s="25" t="n"/>
      <c r="I244" s="26">
        <f>IF(OR($G244="",$H244=""),"",$G244*$H244)</f>
        <v/>
      </c>
    </row>
    <row r="245">
      <c r="A245" s="21" t="n"/>
      <c r="B245" s="22" t="n"/>
      <c r="C245" s="23" t="n"/>
      <c r="D245" s="22" t="n"/>
      <c r="E245" s="23" t="n"/>
      <c r="F245" s="22" t="n"/>
      <c r="G245" s="24" t="n"/>
      <c r="H245" s="25" t="n"/>
      <c r="I245" s="26">
        <f>IF(OR($G245="",$H245=""),"",$G245*$H245)</f>
        <v/>
      </c>
    </row>
    <row r="246">
      <c r="A246" s="21" t="n"/>
      <c r="B246" s="22" t="n"/>
      <c r="C246" s="23" t="n"/>
      <c r="D246" s="22" t="n"/>
      <c r="E246" s="23" t="n"/>
      <c r="F246" s="22" t="n"/>
      <c r="G246" s="24" t="n"/>
      <c r="H246" s="25" t="n"/>
      <c r="I246" s="26">
        <f>IF(OR($G246="",$H246=""),"",$G246*$H246)</f>
        <v/>
      </c>
    </row>
    <row r="247">
      <c r="A247" s="21" t="n"/>
      <c r="B247" s="22" t="n"/>
      <c r="C247" s="23" t="n"/>
      <c r="D247" s="22" t="n"/>
      <c r="E247" s="23" t="n"/>
      <c r="F247" s="22" t="n"/>
      <c r="G247" s="24" t="n"/>
      <c r="H247" s="25" t="n"/>
      <c r="I247" s="26">
        <f>IF(OR($G247="",$H247=""),"",$G247*$H247)</f>
        <v/>
      </c>
    </row>
    <row r="248">
      <c r="A248" s="21" t="n"/>
      <c r="B248" s="22" t="n"/>
      <c r="C248" s="23" t="n"/>
      <c r="D248" s="22" t="n"/>
      <c r="E248" s="23" t="n"/>
      <c r="F248" s="22" t="n"/>
      <c r="G248" s="24" t="n"/>
      <c r="H248" s="25" t="n"/>
      <c r="I248" s="26">
        <f>IF(OR($G248="",$H248=""),"",$G248*$H248)</f>
        <v/>
      </c>
    </row>
    <row r="249">
      <c r="A249" s="21" t="n"/>
      <c r="B249" s="22" t="n"/>
      <c r="C249" s="23" t="n"/>
      <c r="D249" s="22" t="n"/>
      <c r="E249" s="23" t="n"/>
      <c r="F249" s="22" t="n"/>
      <c r="G249" s="24" t="n"/>
      <c r="H249" s="25" t="n"/>
      <c r="I249" s="26">
        <f>IF(OR($G249="",$H249=""),"",$G249*$H249)</f>
        <v/>
      </c>
    </row>
    <row r="250">
      <c r="A250" s="21" t="n"/>
      <c r="B250" s="22" t="n"/>
      <c r="C250" s="23" t="n"/>
      <c r="D250" s="22" t="n"/>
      <c r="E250" s="23" t="n"/>
      <c r="F250" s="22" t="n"/>
      <c r="G250" s="24" t="n"/>
      <c r="H250" s="25" t="n"/>
      <c r="I250" s="26">
        <f>IF(OR($G250="",$H250=""),"",$G250*$H250)</f>
        <v/>
      </c>
    </row>
    <row r="251">
      <c r="A251" s="21" t="n"/>
      <c r="B251" s="22" t="n"/>
      <c r="C251" s="23" t="n"/>
      <c r="D251" s="22" t="n"/>
      <c r="E251" s="23" t="n"/>
      <c r="F251" s="22" t="n"/>
      <c r="G251" s="24" t="n"/>
      <c r="H251" s="25" t="n"/>
      <c r="I251" s="26">
        <f>IF(OR($G251="",$H251=""),"",$G251*$H251)</f>
        <v/>
      </c>
    </row>
    <row r="252">
      <c r="A252" s="21" t="n"/>
      <c r="B252" s="22" t="n"/>
      <c r="C252" s="23" t="n"/>
      <c r="D252" s="22" t="n"/>
      <c r="E252" s="23" t="n"/>
      <c r="F252" s="22" t="n"/>
      <c r="G252" s="24" t="n"/>
      <c r="H252" s="25" t="n"/>
      <c r="I252" s="26">
        <f>IF(OR($G252="",$H252=""),"",$G252*$H252)</f>
        <v/>
      </c>
    </row>
    <row r="253">
      <c r="A253" s="21" t="n"/>
      <c r="B253" s="22" t="n"/>
      <c r="C253" s="23" t="n"/>
      <c r="D253" s="22" t="n"/>
      <c r="E253" s="23" t="n"/>
      <c r="F253" s="22" t="n"/>
      <c r="G253" s="24" t="n"/>
      <c r="H253" s="25" t="n"/>
      <c r="I253" s="26">
        <f>IF(OR($G253="",$H253=""),"",$G253*$H253)</f>
        <v/>
      </c>
    </row>
    <row r="254">
      <c r="A254" s="21" t="n"/>
      <c r="B254" s="22" t="n"/>
      <c r="C254" s="23" t="n"/>
      <c r="D254" s="22" t="n"/>
      <c r="E254" s="23" t="n"/>
      <c r="F254" s="22" t="n"/>
      <c r="G254" s="24" t="n"/>
      <c r="H254" s="25" t="n"/>
      <c r="I254" s="26">
        <f>IF(OR($G254="",$H254=""),"",$G254*$H254)</f>
        <v/>
      </c>
    </row>
    <row r="255">
      <c r="A255" s="21" t="n"/>
      <c r="B255" s="22" t="n"/>
      <c r="C255" s="23" t="n"/>
      <c r="D255" s="22" t="n"/>
      <c r="E255" s="23" t="n"/>
      <c r="F255" s="22" t="n"/>
      <c r="G255" s="24" t="n"/>
      <c r="H255" s="25" t="n"/>
      <c r="I255" s="26">
        <f>IF(OR($G255="",$H255=""),"",$G255*$H255)</f>
        <v/>
      </c>
    </row>
    <row r="256">
      <c r="A256" s="21" t="n"/>
      <c r="B256" s="22" t="n"/>
      <c r="C256" s="23" t="n"/>
      <c r="D256" s="22" t="n"/>
      <c r="E256" s="23" t="n"/>
      <c r="F256" s="22" t="n"/>
      <c r="G256" s="24" t="n"/>
      <c r="H256" s="25" t="n"/>
      <c r="I256" s="26">
        <f>IF(OR($G256="",$H256=""),"",$G256*$H256)</f>
        <v/>
      </c>
    </row>
    <row r="257">
      <c r="A257" s="21" t="n"/>
      <c r="B257" s="22" t="n"/>
      <c r="C257" s="23" t="n"/>
      <c r="D257" s="22" t="n"/>
      <c r="E257" s="23" t="n"/>
      <c r="F257" s="22" t="n"/>
      <c r="G257" s="24" t="n"/>
      <c r="H257" s="25" t="n"/>
      <c r="I257" s="26">
        <f>IF(OR($G257="",$H257=""),"",$G257*$H257)</f>
        <v/>
      </c>
    </row>
    <row r="258">
      <c r="A258" s="21" t="n"/>
      <c r="B258" s="22" t="n"/>
      <c r="C258" s="23" t="n"/>
      <c r="D258" s="22" t="n"/>
      <c r="E258" s="23" t="n"/>
      <c r="F258" s="22" t="n"/>
      <c r="G258" s="24" t="n"/>
      <c r="H258" s="25" t="n"/>
      <c r="I258" s="26">
        <f>IF(OR($G258="",$H258=""),"",$G258*$H258)</f>
        <v/>
      </c>
    </row>
    <row r="259">
      <c r="A259" s="21" t="n"/>
      <c r="B259" s="22" t="n"/>
      <c r="C259" s="23" t="n"/>
      <c r="D259" s="22" t="n"/>
      <c r="E259" s="23" t="n"/>
      <c r="F259" s="22" t="n"/>
      <c r="G259" s="24" t="n"/>
      <c r="H259" s="25" t="n"/>
      <c r="I259" s="26">
        <f>IF(OR($G259="",$H259=""),"",$G259*$H259)</f>
        <v/>
      </c>
    </row>
    <row r="260">
      <c r="A260" s="21" t="n"/>
      <c r="B260" s="22" t="n"/>
      <c r="C260" s="23" t="n"/>
      <c r="D260" s="22" t="n"/>
      <c r="E260" s="23" t="n"/>
      <c r="F260" s="22" t="n"/>
      <c r="G260" s="24" t="n"/>
      <c r="H260" s="25" t="n"/>
      <c r="I260" s="26">
        <f>IF(OR($G260="",$H260=""),"",$G260*$H260)</f>
        <v/>
      </c>
    </row>
    <row r="261">
      <c r="A261" s="21" t="n"/>
      <c r="B261" s="22" t="n"/>
      <c r="C261" s="23" t="n"/>
      <c r="D261" s="22" t="n"/>
      <c r="E261" s="23" t="n"/>
      <c r="F261" s="22" t="n"/>
      <c r="G261" s="24" t="n"/>
      <c r="H261" s="25" t="n"/>
      <c r="I261" s="26">
        <f>IF(OR($G261="",$H261=""),"",$G261*$H261)</f>
        <v/>
      </c>
    </row>
    <row r="262">
      <c r="A262" s="21" t="n"/>
      <c r="B262" s="22" t="n"/>
      <c r="C262" s="23" t="n"/>
      <c r="D262" s="22" t="n"/>
      <c r="E262" s="23" t="n"/>
      <c r="F262" s="22" t="n"/>
      <c r="G262" s="24" t="n"/>
      <c r="H262" s="25" t="n"/>
      <c r="I262" s="26">
        <f>IF(OR($G262="",$H262=""),"",$G262*$H262)</f>
        <v/>
      </c>
    </row>
    <row r="263">
      <c r="A263" s="21" t="n"/>
      <c r="B263" s="22" t="n"/>
      <c r="C263" s="23" t="n"/>
      <c r="D263" s="22" t="n"/>
      <c r="E263" s="23" t="n"/>
      <c r="F263" s="22" t="n"/>
      <c r="G263" s="24" t="n"/>
      <c r="H263" s="25" t="n"/>
      <c r="I263" s="26">
        <f>IF(OR($G263="",$H263=""),"",$G263*$H263)</f>
        <v/>
      </c>
    </row>
    <row r="264">
      <c r="A264" s="21" t="n"/>
      <c r="B264" s="22" t="n"/>
      <c r="C264" s="23" t="n"/>
      <c r="D264" s="22" t="n"/>
      <c r="E264" s="23" t="n"/>
      <c r="F264" s="22" t="n"/>
      <c r="G264" s="24" t="n"/>
      <c r="H264" s="25" t="n"/>
      <c r="I264" s="26">
        <f>IF(OR($G264="",$H264=""),"",$G264*$H264)</f>
        <v/>
      </c>
    </row>
    <row r="265">
      <c r="A265" s="21" t="n"/>
      <c r="B265" s="22" t="n"/>
      <c r="C265" s="23" t="n"/>
      <c r="D265" s="22" t="n"/>
      <c r="E265" s="23" t="n"/>
      <c r="F265" s="22" t="n"/>
      <c r="G265" s="24" t="n"/>
      <c r="H265" s="25" t="n"/>
      <c r="I265" s="26">
        <f>IF(OR($G265="",$H265=""),"",$G265*$H265)</f>
        <v/>
      </c>
    </row>
    <row r="266">
      <c r="A266" s="21" t="n"/>
      <c r="B266" s="22" t="n"/>
      <c r="C266" s="23" t="n"/>
      <c r="D266" s="22" t="n"/>
      <c r="E266" s="23" t="n"/>
      <c r="F266" s="22" t="n"/>
      <c r="G266" s="24" t="n"/>
      <c r="H266" s="25" t="n"/>
      <c r="I266" s="26">
        <f>IF(OR($G266="",$H266=""),"",$G266*$H266)</f>
        <v/>
      </c>
    </row>
    <row r="267">
      <c r="A267" s="21" t="n"/>
      <c r="B267" s="22" t="n"/>
      <c r="C267" s="23" t="n"/>
      <c r="D267" s="22" t="n"/>
      <c r="E267" s="23" t="n"/>
      <c r="F267" s="22" t="n"/>
      <c r="G267" s="24" t="n"/>
      <c r="H267" s="25" t="n"/>
      <c r="I267" s="26">
        <f>IF(OR($G267="",$H267=""),"",$G267*$H267)</f>
        <v/>
      </c>
    </row>
    <row r="268">
      <c r="A268" s="21" t="n"/>
      <c r="B268" s="22" t="n"/>
      <c r="C268" s="23" t="n"/>
      <c r="D268" s="22" t="n"/>
      <c r="E268" s="23" t="n"/>
      <c r="F268" s="22" t="n"/>
      <c r="G268" s="24" t="n"/>
      <c r="H268" s="25" t="n"/>
      <c r="I268" s="26">
        <f>IF(OR($G268="",$H268=""),"",$G268*$H268)</f>
        <v/>
      </c>
    </row>
    <row r="269">
      <c r="A269" s="21" t="n"/>
      <c r="B269" s="22" t="n"/>
      <c r="C269" s="23" t="n"/>
      <c r="D269" s="22" t="n"/>
      <c r="E269" s="23" t="n"/>
      <c r="F269" s="22" t="n"/>
      <c r="G269" s="24" t="n"/>
      <c r="H269" s="25" t="n"/>
      <c r="I269" s="26">
        <f>IF(OR($G269="",$H269=""),"",$G269*$H269)</f>
        <v/>
      </c>
    </row>
    <row r="270">
      <c r="A270" s="21" t="n"/>
      <c r="B270" s="22" t="n"/>
      <c r="C270" s="23" t="n"/>
      <c r="D270" s="22" t="n"/>
      <c r="E270" s="23" t="n"/>
      <c r="F270" s="22" t="n"/>
      <c r="G270" s="24" t="n"/>
      <c r="H270" s="25" t="n"/>
      <c r="I270" s="26">
        <f>IF(OR($G270="",$H270=""),"",$G270*$H270)</f>
        <v/>
      </c>
    </row>
    <row r="271">
      <c r="A271" s="21" t="n"/>
      <c r="B271" s="22" t="n"/>
      <c r="C271" s="23" t="n"/>
      <c r="D271" s="22" t="n"/>
      <c r="E271" s="23" t="n"/>
      <c r="F271" s="22" t="n"/>
      <c r="G271" s="24" t="n"/>
      <c r="H271" s="25" t="n"/>
      <c r="I271" s="26">
        <f>IF(OR($G271="",$H271=""),"",$G271*$H271)</f>
        <v/>
      </c>
    </row>
    <row r="272">
      <c r="A272" s="21" t="n"/>
      <c r="B272" s="22" t="n"/>
      <c r="C272" s="23" t="n"/>
      <c r="D272" s="22" t="n"/>
      <c r="E272" s="23" t="n"/>
      <c r="F272" s="22" t="n"/>
      <c r="G272" s="24" t="n"/>
      <c r="H272" s="25" t="n"/>
      <c r="I272" s="26">
        <f>IF(OR($G272="",$H272=""),"",$G272*$H272)</f>
        <v/>
      </c>
    </row>
    <row r="273">
      <c r="A273" s="21" t="n"/>
      <c r="B273" s="22" t="n"/>
      <c r="C273" s="23" t="n"/>
      <c r="D273" s="22" t="n"/>
      <c r="E273" s="23" t="n"/>
      <c r="F273" s="22" t="n"/>
      <c r="G273" s="24" t="n"/>
      <c r="H273" s="25" t="n"/>
      <c r="I273" s="26">
        <f>IF(OR($G273="",$H273=""),"",$G273*$H273)</f>
        <v/>
      </c>
    </row>
    <row r="274">
      <c r="A274" s="21" t="n"/>
      <c r="B274" s="22" t="n"/>
      <c r="C274" s="23" t="n"/>
      <c r="D274" s="22" t="n"/>
      <c r="E274" s="23" t="n"/>
      <c r="F274" s="22" t="n"/>
      <c r="G274" s="24" t="n"/>
      <c r="H274" s="25" t="n"/>
      <c r="I274" s="26">
        <f>IF(OR($G274="",$H274=""),"",$G274*$H274)</f>
        <v/>
      </c>
    </row>
    <row r="275">
      <c r="A275" s="21" t="n"/>
      <c r="B275" s="22" t="n"/>
      <c r="C275" s="23" t="n"/>
      <c r="D275" s="22" t="n"/>
      <c r="E275" s="23" t="n"/>
      <c r="F275" s="22" t="n"/>
      <c r="G275" s="24" t="n"/>
      <c r="H275" s="25" t="n"/>
      <c r="I275" s="26">
        <f>IF(OR($G275="",$H275=""),"",$G275*$H275)</f>
        <v/>
      </c>
    </row>
    <row r="276">
      <c r="A276" s="21" t="n"/>
      <c r="B276" s="22" t="n"/>
      <c r="C276" s="23" t="n"/>
      <c r="D276" s="22" t="n"/>
      <c r="E276" s="23" t="n"/>
      <c r="F276" s="22" t="n"/>
      <c r="G276" s="24" t="n"/>
      <c r="H276" s="25" t="n"/>
      <c r="I276" s="26">
        <f>IF(OR($G276="",$H276=""),"",$G276*$H276)</f>
        <v/>
      </c>
    </row>
    <row r="277">
      <c r="A277" s="21" t="n"/>
      <c r="B277" s="22" t="n"/>
      <c r="C277" s="23" t="n"/>
      <c r="D277" s="22" t="n"/>
      <c r="E277" s="23" t="n"/>
      <c r="F277" s="22" t="n"/>
      <c r="G277" s="24" t="n"/>
      <c r="H277" s="25" t="n"/>
      <c r="I277" s="26">
        <f>IF(OR($G277="",$H277=""),"",$G277*$H277)</f>
        <v/>
      </c>
    </row>
    <row r="278">
      <c r="A278" s="21" t="n"/>
      <c r="B278" s="22" t="n"/>
      <c r="C278" s="23" t="n"/>
      <c r="D278" s="22" t="n"/>
      <c r="E278" s="23" t="n"/>
      <c r="F278" s="22" t="n"/>
      <c r="G278" s="24" t="n"/>
      <c r="H278" s="25" t="n"/>
      <c r="I278" s="26">
        <f>IF(OR($G278="",$H278=""),"",$G278*$H278)</f>
        <v/>
      </c>
    </row>
    <row r="279">
      <c r="A279" s="21" t="n"/>
      <c r="B279" s="22" t="n"/>
      <c r="C279" s="23" t="n"/>
      <c r="D279" s="22" t="n"/>
      <c r="E279" s="23" t="n"/>
      <c r="F279" s="22" t="n"/>
      <c r="G279" s="24" t="n"/>
      <c r="H279" s="25" t="n"/>
      <c r="I279" s="26">
        <f>IF(OR($G279="",$H279=""),"",$G279*$H279)</f>
        <v/>
      </c>
    </row>
    <row r="280">
      <c r="A280" s="21" t="n"/>
      <c r="B280" s="22" t="n"/>
      <c r="C280" s="23" t="n"/>
      <c r="D280" s="22" t="n"/>
      <c r="E280" s="23" t="n"/>
      <c r="F280" s="22" t="n"/>
      <c r="G280" s="24" t="n"/>
      <c r="H280" s="25" t="n"/>
      <c r="I280" s="26">
        <f>IF(OR($G280="",$H280=""),"",$G280*$H280)</f>
        <v/>
      </c>
    </row>
    <row r="281">
      <c r="A281" s="21" t="n"/>
      <c r="B281" s="22" t="n"/>
      <c r="C281" s="23" t="n"/>
      <c r="D281" s="22" t="n"/>
      <c r="E281" s="23" t="n"/>
      <c r="F281" s="22" t="n"/>
      <c r="G281" s="24" t="n"/>
      <c r="H281" s="25" t="n"/>
      <c r="I281" s="26">
        <f>IF(OR($G281="",$H281=""),"",$G281*$H281)</f>
        <v/>
      </c>
    </row>
    <row r="282">
      <c r="A282" s="21" t="n"/>
      <c r="B282" s="22" t="n"/>
      <c r="C282" s="23" t="n"/>
      <c r="D282" s="22" t="n"/>
      <c r="E282" s="23" t="n"/>
      <c r="F282" s="22" t="n"/>
      <c r="G282" s="24" t="n"/>
      <c r="H282" s="25" t="n"/>
      <c r="I282" s="26">
        <f>IF(OR($G282="",$H282=""),"",$G282*$H282)</f>
        <v/>
      </c>
    </row>
    <row r="283">
      <c r="A283" s="21" t="n"/>
      <c r="B283" s="22" t="n"/>
      <c r="C283" s="23" t="n"/>
      <c r="D283" s="22" t="n"/>
      <c r="E283" s="23" t="n"/>
      <c r="F283" s="22" t="n"/>
      <c r="G283" s="24" t="n"/>
      <c r="H283" s="25" t="n"/>
      <c r="I283" s="26">
        <f>IF(OR($G283="",$H283=""),"",$G283*$H283)</f>
        <v/>
      </c>
    </row>
    <row r="284">
      <c r="A284" s="21" t="n"/>
      <c r="B284" s="22" t="n"/>
      <c r="C284" s="23" t="n"/>
      <c r="D284" s="22" t="n"/>
      <c r="E284" s="23" t="n"/>
      <c r="F284" s="22" t="n"/>
      <c r="G284" s="24" t="n"/>
      <c r="H284" s="25" t="n"/>
      <c r="I284" s="26">
        <f>IF(OR($G284="",$H284=""),"",$G284*$H284)</f>
        <v/>
      </c>
    </row>
    <row r="285">
      <c r="A285" s="21" t="n"/>
      <c r="B285" s="22" t="n"/>
      <c r="C285" s="23" t="n"/>
      <c r="D285" s="22" t="n"/>
      <c r="E285" s="23" t="n"/>
      <c r="F285" s="22" t="n"/>
      <c r="G285" s="24" t="n"/>
      <c r="H285" s="25" t="n"/>
      <c r="I285" s="26">
        <f>IF(OR($G285="",$H285=""),"",$G285*$H285)</f>
        <v/>
      </c>
    </row>
    <row r="286">
      <c r="A286" s="21" t="n"/>
      <c r="B286" s="22" t="n"/>
      <c r="C286" s="23" t="n"/>
      <c r="D286" s="22" t="n"/>
      <c r="E286" s="23" t="n"/>
      <c r="F286" s="22" t="n"/>
      <c r="G286" s="24" t="n"/>
      <c r="H286" s="25" t="n"/>
      <c r="I286" s="26">
        <f>IF(OR($G286="",$H286=""),"",$G286*$H286)</f>
        <v/>
      </c>
    </row>
    <row r="287">
      <c r="A287" s="21" t="n"/>
      <c r="B287" s="22" t="n"/>
      <c r="C287" s="23" t="n"/>
      <c r="D287" s="22" t="n"/>
      <c r="E287" s="23" t="n"/>
      <c r="F287" s="22" t="n"/>
      <c r="G287" s="24" t="n"/>
      <c r="H287" s="25" t="n"/>
      <c r="I287" s="26">
        <f>IF(OR($G287="",$H287=""),"",$G287*$H287)</f>
        <v/>
      </c>
    </row>
    <row r="288">
      <c r="A288" s="21" t="n"/>
      <c r="B288" s="22" t="n"/>
      <c r="C288" s="23" t="n"/>
      <c r="D288" s="22" t="n"/>
      <c r="E288" s="23" t="n"/>
      <c r="F288" s="22" t="n"/>
      <c r="G288" s="24" t="n"/>
      <c r="H288" s="25" t="n"/>
      <c r="I288" s="26">
        <f>IF(OR($G288="",$H288=""),"",$G288*$H288)</f>
        <v/>
      </c>
    </row>
    <row r="289">
      <c r="A289" s="21" t="n"/>
      <c r="B289" s="22" t="n"/>
      <c r="C289" s="23" t="n"/>
      <c r="D289" s="22" t="n"/>
      <c r="E289" s="23" t="n"/>
      <c r="F289" s="22" t="n"/>
      <c r="G289" s="24" t="n"/>
      <c r="H289" s="25" t="n"/>
      <c r="I289" s="26">
        <f>IF(OR($G289="",$H289=""),"",$G289*$H289)</f>
        <v/>
      </c>
    </row>
    <row r="290">
      <c r="A290" s="21" t="n"/>
      <c r="B290" s="22" t="n"/>
      <c r="C290" s="23" t="n"/>
      <c r="D290" s="22" t="n"/>
      <c r="E290" s="23" t="n"/>
      <c r="F290" s="22" t="n"/>
      <c r="G290" s="24" t="n"/>
      <c r="H290" s="25" t="n"/>
      <c r="I290" s="26">
        <f>IF(OR($G290="",$H290=""),"",$G290*$H290)</f>
        <v/>
      </c>
    </row>
    <row r="291">
      <c r="A291" s="21" t="n"/>
      <c r="B291" s="22" t="n"/>
      <c r="C291" s="23" t="n"/>
      <c r="D291" s="22" t="n"/>
      <c r="E291" s="23" t="n"/>
      <c r="F291" s="22" t="n"/>
      <c r="G291" s="24" t="n"/>
      <c r="H291" s="25" t="n"/>
      <c r="I291" s="26">
        <f>IF(OR($G291="",$H291=""),"",$G291*$H291)</f>
        <v/>
      </c>
    </row>
    <row r="292">
      <c r="A292" s="21" t="n"/>
      <c r="B292" s="22" t="n"/>
      <c r="C292" s="23" t="n"/>
      <c r="D292" s="22" t="n"/>
      <c r="E292" s="23" t="n"/>
      <c r="F292" s="22" t="n"/>
      <c r="G292" s="24" t="n"/>
      <c r="H292" s="25" t="n"/>
      <c r="I292" s="26">
        <f>IF(OR($G292="",$H292=""),"",$G292*$H292)</f>
        <v/>
      </c>
    </row>
    <row r="293">
      <c r="A293" s="21" t="n"/>
      <c r="B293" s="22" t="n"/>
      <c r="C293" s="23" t="n"/>
      <c r="D293" s="22" t="n"/>
      <c r="E293" s="23" t="n"/>
      <c r="F293" s="22" t="n"/>
      <c r="G293" s="24" t="n"/>
      <c r="H293" s="25" t="n"/>
      <c r="I293" s="26">
        <f>IF(OR($G293="",$H293=""),"",$G293*$H293)</f>
        <v/>
      </c>
    </row>
    <row r="294">
      <c r="A294" s="21" t="n"/>
      <c r="B294" s="22" t="n"/>
      <c r="C294" s="23" t="n"/>
      <c r="D294" s="22" t="n"/>
      <c r="E294" s="23" t="n"/>
      <c r="F294" s="22" t="n"/>
      <c r="G294" s="24" t="n"/>
      <c r="H294" s="25" t="n"/>
      <c r="I294" s="26">
        <f>IF(OR($G294="",$H294=""),"",$G294*$H294)</f>
        <v/>
      </c>
    </row>
    <row r="295">
      <c r="A295" s="21" t="n"/>
      <c r="B295" s="22" t="n"/>
      <c r="C295" s="23" t="n"/>
      <c r="D295" s="22" t="n"/>
      <c r="E295" s="23" t="n"/>
      <c r="F295" s="22" t="n"/>
      <c r="G295" s="24" t="n"/>
      <c r="H295" s="25" t="n"/>
      <c r="I295" s="26">
        <f>IF(OR($G295="",$H295=""),"",$G295*$H295)</f>
        <v/>
      </c>
    </row>
    <row r="296">
      <c r="A296" s="21" t="n"/>
      <c r="B296" s="22" t="n"/>
      <c r="C296" s="23" t="n"/>
      <c r="D296" s="22" t="n"/>
      <c r="E296" s="23" t="n"/>
      <c r="F296" s="22" t="n"/>
      <c r="G296" s="24" t="n"/>
      <c r="H296" s="25" t="n"/>
      <c r="I296" s="26">
        <f>IF(OR($G296="",$H296=""),"",$G296*$H296)</f>
        <v/>
      </c>
    </row>
    <row r="297">
      <c r="A297" s="21" t="n"/>
      <c r="B297" s="22" t="n"/>
      <c r="C297" s="23" t="n"/>
      <c r="D297" s="22" t="n"/>
      <c r="E297" s="23" t="n"/>
      <c r="F297" s="22" t="n"/>
      <c r="G297" s="24" t="n"/>
      <c r="H297" s="25" t="n"/>
      <c r="I297" s="26">
        <f>IF(OR($G297="",$H297=""),"",$G297*$H297)</f>
        <v/>
      </c>
    </row>
    <row r="298">
      <c r="A298" s="21" t="n"/>
      <c r="B298" s="22" t="n"/>
      <c r="C298" s="23" t="n"/>
      <c r="D298" s="22" t="n"/>
      <c r="E298" s="23" t="n"/>
      <c r="F298" s="22" t="n"/>
      <c r="G298" s="24" t="n"/>
      <c r="H298" s="25" t="n"/>
      <c r="I298" s="26">
        <f>IF(OR($G298="",$H298=""),"",$G298*$H298)</f>
        <v/>
      </c>
    </row>
    <row r="299">
      <c r="A299" s="21" t="n"/>
      <c r="B299" s="22" t="n"/>
      <c r="C299" s="23" t="n"/>
      <c r="D299" s="22" t="n"/>
      <c r="E299" s="23" t="n"/>
      <c r="F299" s="22" t="n"/>
      <c r="G299" s="24" t="n"/>
      <c r="H299" s="25" t="n"/>
      <c r="I299" s="26">
        <f>IF(OR($G299="",$H299=""),"",$G299*$H299)</f>
        <v/>
      </c>
    </row>
    <row r="300">
      <c r="A300" s="21" t="n"/>
      <c r="B300" s="22" t="n"/>
      <c r="C300" s="23" t="n"/>
      <c r="D300" s="22" t="n"/>
      <c r="E300" s="23" t="n"/>
      <c r="F300" s="22" t="n"/>
      <c r="G300" s="24" t="n"/>
      <c r="H300" s="25" t="n"/>
      <c r="I300" s="26">
        <f>IF(OR($G300="",$H300=""),"",$G300*$H300)</f>
        <v/>
      </c>
    </row>
    <row r="301">
      <c r="A301" s="21" t="n"/>
      <c r="B301" s="22" t="n"/>
      <c r="C301" s="23" t="n"/>
      <c r="D301" s="22" t="n"/>
      <c r="E301" s="23" t="n"/>
      <c r="F301" s="22" t="n"/>
      <c r="G301" s="24" t="n"/>
      <c r="H301" s="25" t="n"/>
      <c r="I301" s="26">
        <f>IF(OR($G301="",$H301=""),"",$G301*$H301)</f>
        <v/>
      </c>
    </row>
    <row r="302">
      <c r="A302" s="21" t="n"/>
      <c r="B302" s="22" t="n"/>
      <c r="C302" s="23" t="n"/>
      <c r="D302" s="22" t="n"/>
      <c r="E302" s="23" t="n"/>
      <c r="F302" s="22" t="n"/>
      <c r="G302" s="24" t="n"/>
      <c r="H302" s="25" t="n"/>
      <c r="I302" s="26">
        <f>IF(OR($G302="",$H302=""),"",$G302*$H302)</f>
        <v/>
      </c>
    </row>
    <row r="303">
      <c r="A303" s="21" t="n"/>
      <c r="B303" s="22" t="n"/>
      <c r="C303" s="23" t="n"/>
      <c r="D303" s="22" t="n"/>
      <c r="E303" s="23" t="n"/>
      <c r="F303" s="22" t="n"/>
      <c r="G303" s="24" t="n"/>
      <c r="H303" s="25" t="n"/>
      <c r="I303" s="26">
        <f>IF(OR($G303="",$H303=""),"",$G303*$H303)</f>
        <v/>
      </c>
    </row>
    <row r="304">
      <c r="A304" s="21" t="n"/>
      <c r="B304" s="22" t="n"/>
      <c r="C304" s="23" t="n"/>
      <c r="D304" s="22" t="n"/>
      <c r="E304" s="23" t="n"/>
      <c r="F304" s="22" t="n"/>
      <c r="G304" s="24" t="n"/>
      <c r="H304" s="25" t="n"/>
      <c r="I304" s="26">
        <f>IF(OR($G304="",$H304=""),"",$G304*$H304)</f>
        <v/>
      </c>
    </row>
    <row r="305">
      <c r="A305" s="21" t="n"/>
      <c r="B305" s="22" t="n"/>
      <c r="C305" s="23" t="n"/>
      <c r="D305" s="22" t="n"/>
      <c r="E305" s="23" t="n"/>
      <c r="F305" s="22" t="n"/>
      <c r="G305" s="24" t="n"/>
      <c r="H305" s="25" t="n"/>
      <c r="I305" s="26">
        <f>IF(OR($G305="",$H305=""),"",$G305*$H305)</f>
        <v/>
      </c>
    </row>
    <row r="306">
      <c r="A306" s="21" t="n"/>
      <c r="B306" s="22" t="n"/>
      <c r="C306" s="23" t="n"/>
      <c r="D306" s="22" t="n"/>
      <c r="E306" s="23" t="n"/>
      <c r="F306" s="22" t="n"/>
      <c r="G306" s="24" t="n"/>
      <c r="H306" s="25" t="n"/>
      <c r="I306" s="26">
        <f>IF(OR($G306="",$H306=""),"",$G306*$H306)</f>
        <v/>
      </c>
    </row>
    <row r="307">
      <c r="A307" s="21" t="n"/>
      <c r="B307" s="22" t="n"/>
      <c r="C307" s="23" t="n"/>
      <c r="D307" s="22" t="n"/>
      <c r="E307" s="23" t="n"/>
      <c r="F307" s="22" t="n"/>
      <c r="G307" s="24" t="n"/>
      <c r="H307" s="25" t="n"/>
      <c r="I307" s="26">
        <f>IF(OR($G307="",$H307=""),"",$G307*$H307)</f>
        <v/>
      </c>
    </row>
    <row r="308">
      <c r="A308" s="21" t="n"/>
      <c r="B308" s="22" t="n"/>
      <c r="C308" s="23" t="n"/>
      <c r="D308" s="22" t="n"/>
      <c r="E308" s="23" t="n"/>
      <c r="F308" s="22" t="n"/>
      <c r="G308" s="24" t="n"/>
      <c r="H308" s="25" t="n"/>
      <c r="I308" s="26">
        <f>IF(OR($G308="",$H308=""),"",$G308*$H308)</f>
        <v/>
      </c>
    </row>
    <row r="309">
      <c r="A309" s="21" t="n"/>
      <c r="B309" s="22" t="n"/>
      <c r="C309" s="23" t="n"/>
      <c r="D309" s="22" t="n"/>
      <c r="E309" s="23" t="n"/>
      <c r="F309" s="22" t="n"/>
      <c r="G309" s="24" t="n"/>
      <c r="H309" s="25" t="n"/>
      <c r="I309" s="26">
        <f>IF(OR($G309="",$H309=""),"",$G309*$H309)</f>
        <v/>
      </c>
    </row>
    <row r="310">
      <c r="A310" s="21" t="n"/>
      <c r="B310" s="22" t="n"/>
      <c r="C310" s="23" t="n"/>
      <c r="D310" s="22" t="n"/>
      <c r="E310" s="23" t="n"/>
      <c r="F310" s="22" t="n"/>
      <c r="G310" s="24" t="n"/>
      <c r="H310" s="25" t="n"/>
      <c r="I310" s="26">
        <f>IF(OR($G310="",$H310=""),"",$G310*$H310)</f>
        <v/>
      </c>
    </row>
    <row r="311">
      <c r="A311" s="21" t="n"/>
      <c r="B311" s="22" t="n"/>
      <c r="C311" s="23" t="n"/>
      <c r="D311" s="22" t="n"/>
      <c r="E311" s="23" t="n"/>
      <c r="F311" s="22" t="n"/>
      <c r="G311" s="24" t="n"/>
      <c r="H311" s="25" t="n"/>
      <c r="I311" s="26">
        <f>IF(OR($G311="",$H311=""),"",$G311*$H311)</f>
        <v/>
      </c>
    </row>
    <row r="312">
      <c r="A312" s="21" t="n"/>
      <c r="B312" s="22" t="n"/>
      <c r="C312" s="23" t="n"/>
      <c r="D312" s="22" t="n"/>
      <c r="E312" s="23" t="n"/>
      <c r="F312" s="22" t="n"/>
      <c r="G312" s="24" t="n"/>
      <c r="H312" s="25" t="n"/>
      <c r="I312" s="26">
        <f>IF(OR($G312="",$H312=""),"",$G312*$H312)</f>
        <v/>
      </c>
    </row>
    <row r="313">
      <c r="A313" s="21" t="n"/>
      <c r="B313" s="22" t="n"/>
      <c r="C313" s="23" t="n"/>
      <c r="D313" s="22" t="n"/>
      <c r="E313" s="23" t="n"/>
      <c r="F313" s="22" t="n"/>
      <c r="G313" s="24" t="n"/>
      <c r="H313" s="25" t="n"/>
      <c r="I313" s="26">
        <f>IF(OR($G313="",$H313=""),"",$G313*$H313)</f>
        <v/>
      </c>
    </row>
    <row r="314">
      <c r="A314" s="21" t="n"/>
      <c r="B314" s="22" t="n"/>
      <c r="C314" s="23" t="n"/>
      <c r="D314" s="22" t="n"/>
      <c r="E314" s="23" t="n"/>
      <c r="F314" s="22" t="n"/>
      <c r="G314" s="24" t="n"/>
      <c r="H314" s="25" t="n"/>
      <c r="I314" s="26">
        <f>IF(OR($G314="",$H314=""),"",$G314*$H314)</f>
        <v/>
      </c>
    </row>
    <row r="315">
      <c r="A315" s="21" t="n"/>
      <c r="B315" s="22" t="n"/>
      <c r="C315" s="23" t="n"/>
      <c r="D315" s="22" t="n"/>
      <c r="E315" s="23" t="n"/>
      <c r="F315" s="22" t="n"/>
      <c r="G315" s="24" t="n"/>
      <c r="H315" s="25" t="n"/>
      <c r="I315" s="26">
        <f>IF(OR($G315="",$H315=""),"",$G315*$H315)</f>
        <v/>
      </c>
    </row>
    <row r="316">
      <c r="A316" s="21" t="n"/>
      <c r="B316" s="22" t="n"/>
      <c r="C316" s="23" t="n"/>
      <c r="D316" s="22" t="n"/>
      <c r="E316" s="23" t="n"/>
      <c r="F316" s="22" t="n"/>
      <c r="G316" s="24" t="n"/>
      <c r="H316" s="25" t="n"/>
      <c r="I316" s="26">
        <f>IF(OR($G316="",$H316=""),"",$G316*$H316)</f>
        <v/>
      </c>
    </row>
    <row r="317">
      <c r="A317" s="21" t="n"/>
      <c r="B317" s="22" t="n"/>
      <c r="C317" s="23" t="n"/>
      <c r="D317" s="22" t="n"/>
      <c r="E317" s="23" t="n"/>
      <c r="F317" s="22" t="n"/>
      <c r="G317" s="24" t="n"/>
      <c r="H317" s="25" t="n"/>
      <c r="I317" s="26">
        <f>IF(OR($G317="",$H317=""),"",$G317*$H317)</f>
        <v/>
      </c>
    </row>
    <row r="318">
      <c r="A318" s="21" t="n"/>
      <c r="B318" s="22" t="n"/>
      <c r="C318" s="23" t="n"/>
      <c r="D318" s="22" t="n"/>
      <c r="E318" s="23" t="n"/>
      <c r="F318" s="22" t="n"/>
      <c r="G318" s="24" t="n"/>
      <c r="H318" s="25" t="n"/>
      <c r="I318" s="26">
        <f>IF(OR($G318="",$H318=""),"",$G318*$H318)</f>
        <v/>
      </c>
    </row>
    <row r="319">
      <c r="A319" s="21" t="n"/>
      <c r="B319" s="22" t="n"/>
      <c r="C319" s="23" t="n"/>
      <c r="D319" s="22" t="n"/>
      <c r="E319" s="23" t="n"/>
      <c r="F319" s="22" t="n"/>
      <c r="G319" s="24" t="n"/>
      <c r="H319" s="25" t="n"/>
      <c r="I319" s="26">
        <f>IF(OR($G319="",$H319=""),"",$G319*$H319)</f>
        <v/>
      </c>
    </row>
    <row r="320">
      <c r="A320" s="21" t="n"/>
      <c r="B320" s="22" t="n"/>
      <c r="C320" s="23" t="n"/>
      <c r="D320" s="22" t="n"/>
      <c r="E320" s="23" t="n"/>
      <c r="F320" s="22" t="n"/>
      <c r="G320" s="24" t="n"/>
      <c r="H320" s="25" t="n"/>
      <c r="I320" s="26">
        <f>IF(OR($G320="",$H320=""),"",$G320*$H320)</f>
        <v/>
      </c>
    </row>
    <row r="321">
      <c r="A321" s="21" t="n"/>
      <c r="B321" s="22" t="n"/>
      <c r="C321" s="23" t="n"/>
      <c r="D321" s="22" t="n"/>
      <c r="E321" s="23" t="n"/>
      <c r="F321" s="22" t="n"/>
      <c r="G321" s="24" t="n"/>
      <c r="H321" s="25" t="n"/>
      <c r="I321" s="26">
        <f>IF(OR($G321="",$H321=""),"",$G321*$H321)</f>
        <v/>
      </c>
    </row>
    <row r="322">
      <c r="A322" s="21" t="n"/>
      <c r="B322" s="22" t="n"/>
      <c r="C322" s="23" t="n"/>
      <c r="D322" s="22" t="n"/>
      <c r="E322" s="23" t="n"/>
      <c r="F322" s="22" t="n"/>
      <c r="G322" s="24" t="n"/>
      <c r="H322" s="25" t="n"/>
      <c r="I322" s="26">
        <f>IF(OR($G322="",$H322=""),"",$G322*$H322)</f>
        <v/>
      </c>
    </row>
    <row r="323">
      <c r="A323" s="21" t="n"/>
      <c r="B323" s="22" t="n"/>
      <c r="C323" s="23" t="n"/>
      <c r="D323" s="22" t="n"/>
      <c r="E323" s="23" t="n"/>
      <c r="F323" s="22" t="n"/>
      <c r="G323" s="24" t="n"/>
      <c r="H323" s="25" t="n"/>
      <c r="I323" s="26">
        <f>IF(OR($G323="",$H323=""),"",$G323*$H323)</f>
        <v/>
      </c>
    </row>
    <row r="324">
      <c r="A324" s="21" t="n"/>
      <c r="B324" s="22" t="n"/>
      <c r="C324" s="23" t="n"/>
      <c r="D324" s="22" t="n"/>
      <c r="E324" s="23" t="n"/>
      <c r="F324" s="22" t="n"/>
      <c r="G324" s="24" t="n"/>
      <c r="H324" s="25" t="n"/>
      <c r="I324" s="26">
        <f>IF(OR($G324="",$H324=""),"",$G324*$H324)</f>
        <v/>
      </c>
    </row>
    <row r="325">
      <c r="A325" s="21" t="n"/>
      <c r="B325" s="22" t="n"/>
      <c r="C325" s="23" t="n"/>
      <c r="D325" s="22" t="n"/>
      <c r="E325" s="23" t="n"/>
      <c r="F325" s="22" t="n"/>
      <c r="G325" s="24" t="n"/>
      <c r="H325" s="25" t="n"/>
      <c r="I325" s="26">
        <f>IF(OR($G325="",$H325=""),"",$G325*$H325)</f>
        <v/>
      </c>
    </row>
    <row r="326">
      <c r="A326" s="21" t="n"/>
      <c r="B326" s="22" t="n"/>
      <c r="C326" s="23" t="n"/>
      <c r="D326" s="22" t="n"/>
      <c r="E326" s="23" t="n"/>
      <c r="F326" s="22" t="n"/>
      <c r="G326" s="24" t="n"/>
      <c r="H326" s="25" t="n"/>
      <c r="I326" s="26">
        <f>IF(OR($G326="",$H326=""),"",$G326*$H326)</f>
        <v/>
      </c>
    </row>
    <row r="327">
      <c r="A327" s="21" t="n"/>
      <c r="B327" s="22" t="n"/>
      <c r="C327" s="23" t="n"/>
      <c r="D327" s="22" t="n"/>
      <c r="E327" s="23" t="n"/>
      <c r="F327" s="22" t="n"/>
      <c r="G327" s="24" t="n"/>
      <c r="H327" s="25" t="n"/>
      <c r="I327" s="26">
        <f>IF(OR($G327="",$H327=""),"",$G327*$H327)</f>
        <v/>
      </c>
    </row>
    <row r="328">
      <c r="A328" s="21" t="n"/>
      <c r="B328" s="22" t="n"/>
      <c r="C328" s="23" t="n"/>
      <c r="D328" s="22" t="n"/>
      <c r="E328" s="23" t="n"/>
      <c r="F328" s="22" t="n"/>
      <c r="G328" s="24" t="n"/>
      <c r="H328" s="25" t="n"/>
      <c r="I328" s="26">
        <f>IF(OR($G328="",$H328=""),"",$G328*$H328)</f>
        <v/>
      </c>
    </row>
    <row r="329">
      <c r="A329" s="21" t="n"/>
      <c r="B329" s="22" t="n"/>
      <c r="C329" s="23" t="n"/>
      <c r="D329" s="22" t="n"/>
      <c r="E329" s="23" t="n"/>
      <c r="F329" s="22" t="n"/>
      <c r="G329" s="24" t="n"/>
      <c r="H329" s="25" t="n"/>
      <c r="I329" s="26">
        <f>IF(OR($G329="",$H329=""),"",$G329*$H329)</f>
        <v/>
      </c>
    </row>
    <row r="330">
      <c r="A330" s="21" t="n"/>
      <c r="B330" s="22" t="n"/>
      <c r="C330" s="23" t="n"/>
      <c r="D330" s="22" t="n"/>
      <c r="E330" s="23" t="n"/>
      <c r="F330" s="22" t="n"/>
      <c r="G330" s="24" t="n"/>
      <c r="H330" s="25" t="n"/>
      <c r="I330" s="26">
        <f>IF(OR($G330="",$H330=""),"",$G330*$H330)</f>
        <v/>
      </c>
    </row>
    <row r="331">
      <c r="A331" s="21" t="n"/>
      <c r="B331" s="22" t="n"/>
      <c r="C331" s="23" t="n"/>
      <c r="D331" s="22" t="n"/>
      <c r="E331" s="23" t="n"/>
      <c r="F331" s="22" t="n"/>
      <c r="G331" s="24" t="n"/>
      <c r="H331" s="25" t="n"/>
      <c r="I331" s="26">
        <f>IF(OR($G331="",$H331=""),"",$G331*$H331)</f>
        <v/>
      </c>
    </row>
    <row r="332">
      <c r="A332" s="21" t="n"/>
      <c r="B332" s="22" t="n"/>
      <c r="C332" s="23" t="n"/>
      <c r="D332" s="22" t="n"/>
      <c r="E332" s="23" t="n"/>
      <c r="F332" s="22" t="n"/>
      <c r="G332" s="24" t="n"/>
      <c r="H332" s="25" t="n"/>
      <c r="I332" s="26">
        <f>IF(OR($G332="",$H332=""),"",$G332*$H332)</f>
        <v/>
      </c>
    </row>
    <row r="333">
      <c r="A333" s="21" t="n"/>
      <c r="B333" s="22" t="n"/>
      <c r="C333" s="23" t="n"/>
      <c r="D333" s="22" t="n"/>
      <c r="E333" s="23" t="n"/>
      <c r="F333" s="22" t="n"/>
      <c r="G333" s="24" t="n"/>
      <c r="H333" s="25" t="n"/>
      <c r="I333" s="26">
        <f>IF(OR($G333="",$H333=""),"",$G333*$H333)</f>
        <v/>
      </c>
    </row>
    <row r="334">
      <c r="A334" s="21" t="n"/>
      <c r="B334" s="22" t="n"/>
      <c r="C334" s="23" t="n"/>
      <c r="D334" s="22" t="n"/>
      <c r="E334" s="23" t="n"/>
      <c r="F334" s="22" t="n"/>
      <c r="G334" s="24" t="n"/>
      <c r="H334" s="25" t="n"/>
      <c r="I334" s="26">
        <f>IF(OR($G334="",$H334=""),"",$G334*$H334)</f>
        <v/>
      </c>
    </row>
    <row r="335">
      <c r="A335" s="21" t="n"/>
      <c r="B335" s="22" t="n"/>
      <c r="C335" s="23" t="n"/>
      <c r="D335" s="22" t="n"/>
      <c r="E335" s="23" t="n"/>
      <c r="F335" s="22" t="n"/>
      <c r="G335" s="24" t="n"/>
      <c r="H335" s="25" t="n"/>
      <c r="I335" s="26">
        <f>IF(OR($G335="",$H335=""),"",$G335*$H335)</f>
        <v/>
      </c>
    </row>
    <row r="336">
      <c r="A336" s="21" t="n"/>
      <c r="B336" s="22" t="n"/>
      <c r="C336" s="23" t="n"/>
      <c r="D336" s="22" t="n"/>
      <c r="E336" s="23" t="n"/>
      <c r="F336" s="22" t="n"/>
      <c r="G336" s="24" t="n"/>
      <c r="H336" s="25" t="n"/>
      <c r="I336" s="26">
        <f>IF(OR($G336="",$H336=""),"",$G336*$H336)</f>
        <v/>
      </c>
    </row>
    <row r="337">
      <c r="A337" s="21" t="n"/>
      <c r="B337" s="22" t="n"/>
      <c r="C337" s="23" t="n"/>
      <c r="D337" s="22" t="n"/>
      <c r="E337" s="23" t="n"/>
      <c r="F337" s="22" t="n"/>
      <c r="G337" s="24" t="n"/>
      <c r="H337" s="25" t="n"/>
      <c r="I337" s="26">
        <f>IF(OR($G337="",$H337=""),"",$G337*$H337)</f>
        <v/>
      </c>
    </row>
    <row r="338">
      <c r="A338" s="21" t="n"/>
      <c r="B338" s="22" t="n"/>
      <c r="C338" s="23" t="n"/>
      <c r="D338" s="22" t="n"/>
      <c r="E338" s="23" t="n"/>
      <c r="F338" s="22" t="n"/>
      <c r="G338" s="24" t="n"/>
      <c r="H338" s="25" t="n"/>
      <c r="I338" s="26">
        <f>IF(OR($G338="",$H338=""),"",$G338*$H338)</f>
        <v/>
      </c>
    </row>
    <row r="339">
      <c r="A339" s="21" t="n"/>
      <c r="B339" s="22" t="n"/>
      <c r="C339" s="23" t="n"/>
      <c r="D339" s="22" t="n"/>
      <c r="E339" s="23" t="n"/>
      <c r="F339" s="22" t="n"/>
      <c r="G339" s="24" t="n"/>
      <c r="H339" s="25" t="n"/>
      <c r="I339" s="26">
        <f>IF(OR($G339="",$H339=""),"",$G339*$H339)</f>
        <v/>
      </c>
    </row>
    <row r="340">
      <c r="A340" s="21" t="n"/>
      <c r="B340" s="22" t="n"/>
      <c r="C340" s="23" t="n"/>
      <c r="D340" s="22" t="n"/>
      <c r="E340" s="23" t="n"/>
      <c r="F340" s="22" t="n"/>
      <c r="G340" s="24" t="n"/>
      <c r="H340" s="25" t="n"/>
      <c r="I340" s="26">
        <f>IF(OR($G340="",$H340=""),"",$G340*$H340)</f>
        <v/>
      </c>
    </row>
    <row r="341">
      <c r="A341" s="21" t="n"/>
      <c r="B341" s="22" t="n"/>
      <c r="C341" s="23" t="n"/>
      <c r="D341" s="22" t="n"/>
      <c r="E341" s="23" t="n"/>
      <c r="F341" s="22" t="n"/>
      <c r="G341" s="24" t="n"/>
      <c r="H341" s="25" t="n"/>
      <c r="I341" s="26">
        <f>IF(OR($G341="",$H341=""),"",$G341*$H341)</f>
        <v/>
      </c>
    </row>
    <row r="342">
      <c r="A342" s="21" t="n"/>
      <c r="B342" s="22" t="n"/>
      <c r="C342" s="23" t="n"/>
      <c r="D342" s="22" t="n"/>
      <c r="E342" s="23" t="n"/>
      <c r="F342" s="22" t="n"/>
      <c r="G342" s="24" t="n"/>
      <c r="H342" s="25" t="n"/>
      <c r="I342" s="26">
        <f>IF(OR($G342="",$H342=""),"",$G342*$H342)</f>
        <v/>
      </c>
    </row>
    <row r="343">
      <c r="A343" s="21" t="n"/>
      <c r="B343" s="22" t="n"/>
      <c r="C343" s="23" t="n"/>
      <c r="D343" s="22" t="n"/>
      <c r="E343" s="23" t="n"/>
      <c r="F343" s="22" t="n"/>
      <c r="G343" s="24" t="n"/>
      <c r="H343" s="25" t="n"/>
      <c r="I343" s="26">
        <f>IF(OR($G343="",$H343=""),"",$G343*$H343)</f>
        <v/>
      </c>
    </row>
    <row r="344">
      <c r="A344" s="21" t="n"/>
      <c r="B344" s="22" t="n"/>
      <c r="C344" s="23" t="n"/>
      <c r="D344" s="22" t="n"/>
      <c r="E344" s="23" t="n"/>
      <c r="F344" s="22" t="n"/>
      <c r="G344" s="24" t="n"/>
      <c r="H344" s="25" t="n"/>
      <c r="I344" s="26">
        <f>IF(OR($G344="",$H344=""),"",$G344*$H344)</f>
        <v/>
      </c>
    </row>
    <row r="345">
      <c r="A345" s="21" t="n"/>
      <c r="B345" s="22" t="n"/>
      <c r="C345" s="23" t="n"/>
      <c r="D345" s="22" t="n"/>
      <c r="E345" s="23" t="n"/>
      <c r="F345" s="22" t="n"/>
      <c r="G345" s="24" t="n"/>
      <c r="H345" s="25" t="n"/>
      <c r="I345" s="26">
        <f>IF(OR($G345="",$H345=""),"",$G345*$H345)</f>
        <v/>
      </c>
    </row>
    <row r="346">
      <c r="A346" s="21" t="n"/>
      <c r="B346" s="22" t="n"/>
      <c r="C346" s="23" t="n"/>
      <c r="D346" s="22" t="n"/>
      <c r="E346" s="23" t="n"/>
      <c r="F346" s="22" t="n"/>
      <c r="G346" s="24" t="n"/>
      <c r="H346" s="25" t="n"/>
      <c r="I346" s="26">
        <f>IF(OR($G346="",$H346=""),"",$G346*$H346)</f>
        <v/>
      </c>
    </row>
    <row r="347">
      <c r="A347" s="21" t="n"/>
      <c r="B347" s="22" t="n"/>
      <c r="C347" s="23" t="n"/>
      <c r="D347" s="22" t="n"/>
      <c r="E347" s="23" t="n"/>
      <c r="F347" s="22" t="n"/>
      <c r="G347" s="24" t="n"/>
      <c r="H347" s="25" t="n"/>
      <c r="I347" s="26">
        <f>IF(OR($G347="",$H347=""),"",$G347*$H347)</f>
        <v/>
      </c>
    </row>
    <row r="348">
      <c r="A348" s="21" t="n"/>
      <c r="B348" s="22" t="n"/>
      <c r="C348" s="23" t="n"/>
      <c r="D348" s="22" t="n"/>
      <c r="E348" s="23" t="n"/>
      <c r="F348" s="22" t="n"/>
      <c r="G348" s="24" t="n"/>
      <c r="H348" s="25" t="n"/>
      <c r="I348" s="26">
        <f>IF(OR($G348="",$H348=""),"",$G348*$H348)</f>
        <v/>
      </c>
    </row>
    <row r="349">
      <c r="A349" s="21" t="n"/>
      <c r="B349" s="22" t="n"/>
      <c r="C349" s="23" t="n"/>
      <c r="D349" s="22" t="n"/>
      <c r="E349" s="23" t="n"/>
      <c r="F349" s="22" t="n"/>
      <c r="G349" s="24" t="n"/>
      <c r="H349" s="25" t="n"/>
      <c r="I349" s="26">
        <f>IF(OR($G349="",$H349=""),"",$G349*$H349)</f>
        <v/>
      </c>
    </row>
    <row r="350">
      <c r="A350" s="21" t="n"/>
      <c r="B350" s="22" t="n"/>
      <c r="C350" s="23" t="n"/>
      <c r="D350" s="22" t="n"/>
      <c r="E350" s="23" t="n"/>
      <c r="F350" s="22" t="n"/>
      <c r="G350" s="24" t="n"/>
      <c r="H350" s="25" t="n"/>
      <c r="I350" s="26">
        <f>IF(OR($G350="",$H350=""),"",$G350*$H350)</f>
        <v/>
      </c>
    </row>
    <row r="351">
      <c r="A351" s="21" t="n"/>
      <c r="B351" s="22" t="n"/>
      <c r="C351" s="23" t="n"/>
      <c r="D351" s="22" t="n"/>
      <c r="E351" s="23" t="n"/>
      <c r="F351" s="22" t="n"/>
      <c r="G351" s="24" t="n"/>
      <c r="H351" s="25" t="n"/>
      <c r="I351" s="26">
        <f>IF(OR($G351="",$H351=""),"",$G351*$H351)</f>
        <v/>
      </c>
    </row>
    <row r="352">
      <c r="A352" s="21" t="n"/>
      <c r="B352" s="22" t="n"/>
      <c r="C352" s="23" t="n"/>
      <c r="D352" s="22" t="n"/>
      <c r="E352" s="23" t="n"/>
      <c r="F352" s="22" t="n"/>
      <c r="G352" s="24" t="n"/>
      <c r="H352" s="25" t="n"/>
      <c r="I352" s="26">
        <f>IF(OR($G352="",$H352=""),"",$G352*$H352)</f>
        <v/>
      </c>
    </row>
    <row r="353">
      <c r="A353" s="21" t="n"/>
      <c r="B353" s="22" t="n"/>
      <c r="C353" s="23" t="n"/>
      <c r="D353" s="22" t="n"/>
      <c r="E353" s="23" t="n"/>
      <c r="F353" s="22" t="n"/>
      <c r="G353" s="24" t="n"/>
      <c r="H353" s="25" t="n"/>
      <c r="I353" s="26">
        <f>IF(OR($G353="",$H353=""),"",$G353*$H353)</f>
        <v/>
      </c>
    </row>
    <row r="354">
      <c r="A354" s="21" t="n"/>
      <c r="B354" s="22" t="n"/>
      <c r="C354" s="23" t="n"/>
      <c r="D354" s="22" t="n"/>
      <c r="E354" s="23" t="n"/>
      <c r="F354" s="22" t="n"/>
      <c r="G354" s="24" t="n"/>
      <c r="H354" s="25" t="n"/>
      <c r="I354" s="26">
        <f>IF(OR($G354="",$H354=""),"",$G354*$H354)</f>
        <v/>
      </c>
    </row>
    <row r="355">
      <c r="A355" s="21" t="n"/>
      <c r="B355" s="22" t="n"/>
      <c r="C355" s="23" t="n"/>
      <c r="D355" s="22" t="n"/>
      <c r="E355" s="23" t="n"/>
      <c r="F355" s="22" t="n"/>
      <c r="G355" s="24" t="n"/>
      <c r="H355" s="25" t="n"/>
      <c r="I355" s="26">
        <f>IF(OR($G355="",$H355=""),"",$G355*$H355)</f>
        <v/>
      </c>
    </row>
    <row r="356">
      <c r="A356" s="21" t="n"/>
      <c r="B356" s="22" t="n"/>
      <c r="C356" s="23" t="n"/>
      <c r="D356" s="22" t="n"/>
      <c r="E356" s="23" t="n"/>
      <c r="F356" s="22" t="n"/>
      <c r="G356" s="24" t="n"/>
      <c r="H356" s="25" t="n"/>
      <c r="I356" s="26">
        <f>IF(OR($G356="",$H356=""),"",$G356*$H356)</f>
        <v/>
      </c>
    </row>
    <row r="357">
      <c r="A357" s="21" t="n"/>
      <c r="B357" s="22" t="n"/>
      <c r="C357" s="23" t="n"/>
      <c r="D357" s="22" t="n"/>
      <c r="E357" s="23" t="n"/>
      <c r="F357" s="22" t="n"/>
      <c r="G357" s="24" t="n"/>
      <c r="H357" s="25" t="n"/>
      <c r="I357" s="26">
        <f>IF(OR($G357="",$H357=""),"",$G357*$H357)</f>
        <v/>
      </c>
    </row>
    <row r="358">
      <c r="A358" s="21" t="n"/>
      <c r="B358" s="22" t="n"/>
      <c r="C358" s="23" t="n"/>
      <c r="D358" s="22" t="n"/>
      <c r="E358" s="23" t="n"/>
      <c r="F358" s="22" t="n"/>
      <c r="G358" s="24" t="n"/>
      <c r="H358" s="25" t="n"/>
      <c r="I358" s="26">
        <f>IF(OR($G358="",$H358=""),"",$G358*$H358)</f>
        <v/>
      </c>
    </row>
    <row r="359">
      <c r="A359" s="21" t="n"/>
      <c r="B359" s="22" t="n"/>
      <c r="C359" s="23" t="n"/>
      <c r="D359" s="22" t="n"/>
      <c r="E359" s="23" t="n"/>
      <c r="F359" s="22" t="n"/>
      <c r="G359" s="24" t="n"/>
      <c r="H359" s="25" t="n"/>
      <c r="I359" s="26">
        <f>IF(OR($G359="",$H359=""),"",$G359*$H359)</f>
        <v/>
      </c>
    </row>
    <row r="360">
      <c r="A360" s="21" t="n"/>
      <c r="B360" s="22" t="n"/>
      <c r="C360" s="23" t="n"/>
      <c r="D360" s="22" t="n"/>
      <c r="E360" s="23" t="n"/>
      <c r="F360" s="22" t="n"/>
      <c r="G360" s="24" t="n"/>
      <c r="H360" s="25" t="n"/>
      <c r="I360" s="26">
        <f>IF(OR($G360="",$H360=""),"",$G360*$H360)</f>
        <v/>
      </c>
    </row>
    <row r="361">
      <c r="A361" s="21" t="n"/>
      <c r="B361" s="22" t="n"/>
      <c r="C361" s="23" t="n"/>
      <c r="D361" s="22" t="n"/>
      <c r="E361" s="23" t="n"/>
      <c r="F361" s="22" t="n"/>
      <c r="G361" s="24" t="n"/>
      <c r="H361" s="25" t="n"/>
      <c r="I361" s="26">
        <f>IF(OR($G361="",$H361=""),"",$G361*$H361)</f>
        <v/>
      </c>
    </row>
    <row r="362">
      <c r="A362" s="21" t="n"/>
      <c r="B362" s="22" t="n"/>
      <c r="C362" s="23" t="n"/>
      <c r="D362" s="22" t="n"/>
      <c r="E362" s="23" t="n"/>
      <c r="F362" s="22" t="n"/>
      <c r="G362" s="24" t="n"/>
      <c r="H362" s="25" t="n"/>
      <c r="I362" s="26">
        <f>IF(OR($G362="",$H362=""),"",$G362*$H362)</f>
        <v/>
      </c>
    </row>
    <row r="363">
      <c r="A363" s="21" t="n"/>
      <c r="B363" s="22" t="n"/>
      <c r="C363" s="23" t="n"/>
      <c r="D363" s="22" t="n"/>
      <c r="E363" s="23" t="n"/>
      <c r="F363" s="22" t="n"/>
      <c r="G363" s="24" t="n"/>
      <c r="H363" s="25" t="n"/>
      <c r="I363" s="26">
        <f>IF(OR($G363="",$H363=""),"",$G363*$H363)</f>
        <v/>
      </c>
    </row>
    <row r="364">
      <c r="A364" s="21" t="n"/>
      <c r="B364" s="22" t="n"/>
      <c r="C364" s="23" t="n"/>
      <c r="D364" s="22" t="n"/>
      <c r="E364" s="23" t="n"/>
      <c r="F364" s="22" t="n"/>
      <c r="G364" s="24" t="n"/>
      <c r="H364" s="25" t="n"/>
      <c r="I364" s="26">
        <f>IF(OR($G364="",$H364=""),"",$G364*$H364)</f>
        <v/>
      </c>
    </row>
    <row r="365">
      <c r="A365" s="21" t="n"/>
      <c r="B365" s="22" t="n"/>
      <c r="C365" s="23" t="n"/>
      <c r="D365" s="22" t="n"/>
      <c r="E365" s="23" t="n"/>
      <c r="F365" s="22" t="n"/>
      <c r="G365" s="24" t="n"/>
      <c r="H365" s="25" t="n"/>
      <c r="I365" s="26">
        <f>IF(OR($G365="",$H365=""),"",$G365*$H365)</f>
        <v/>
      </c>
    </row>
    <row r="366">
      <c r="A366" s="21" t="n"/>
      <c r="B366" s="22" t="n"/>
      <c r="C366" s="23" t="n"/>
      <c r="D366" s="22" t="n"/>
      <c r="E366" s="23" t="n"/>
      <c r="F366" s="22" t="n"/>
      <c r="G366" s="24" t="n"/>
      <c r="H366" s="25" t="n"/>
      <c r="I366" s="26">
        <f>IF(OR($G366="",$H366=""),"",$G366*$H366)</f>
        <v/>
      </c>
    </row>
    <row r="367">
      <c r="A367" s="21" t="n"/>
      <c r="B367" s="22" t="n"/>
      <c r="C367" s="23" t="n"/>
      <c r="D367" s="22" t="n"/>
      <c r="E367" s="23" t="n"/>
      <c r="F367" s="22" t="n"/>
      <c r="G367" s="24" t="n"/>
      <c r="H367" s="25" t="n"/>
      <c r="I367" s="26">
        <f>IF(OR($G367="",$H367=""),"",$G367*$H367)</f>
        <v/>
      </c>
    </row>
    <row r="368">
      <c r="A368" s="21" t="n"/>
      <c r="B368" s="22" t="n"/>
      <c r="C368" s="23" t="n"/>
      <c r="D368" s="22" t="n"/>
      <c r="E368" s="23" t="n"/>
      <c r="F368" s="22" t="n"/>
      <c r="G368" s="24" t="n"/>
      <c r="H368" s="25" t="n"/>
      <c r="I368" s="26">
        <f>IF(OR($G368="",$H368=""),"",$G368*$H368)</f>
        <v/>
      </c>
    </row>
    <row r="369">
      <c r="A369" s="21" t="n"/>
      <c r="B369" s="22" t="n"/>
      <c r="C369" s="23" t="n"/>
      <c r="D369" s="22" t="n"/>
      <c r="E369" s="23" t="n"/>
      <c r="F369" s="22" t="n"/>
      <c r="G369" s="24" t="n"/>
      <c r="H369" s="25" t="n"/>
      <c r="I369" s="26">
        <f>IF(OR($G369="",$H369=""),"",$G369*$H369)</f>
        <v/>
      </c>
    </row>
    <row r="370">
      <c r="A370" s="21" t="n"/>
      <c r="B370" s="22" t="n"/>
      <c r="C370" s="23" t="n"/>
      <c r="D370" s="22" t="n"/>
      <c r="E370" s="23" t="n"/>
      <c r="F370" s="22" t="n"/>
      <c r="G370" s="24" t="n"/>
      <c r="H370" s="25" t="n"/>
      <c r="I370" s="26">
        <f>IF(OR($G370="",$H370=""),"",$G370*$H370)</f>
        <v/>
      </c>
    </row>
    <row r="371">
      <c r="A371" s="21" t="n"/>
      <c r="B371" s="22" t="n"/>
      <c r="C371" s="23" t="n"/>
      <c r="D371" s="22" t="n"/>
      <c r="E371" s="23" t="n"/>
      <c r="F371" s="22" t="n"/>
      <c r="G371" s="24" t="n"/>
      <c r="H371" s="25" t="n"/>
      <c r="I371" s="26">
        <f>IF(OR($G371="",$H371=""),"",$G371*$H371)</f>
        <v/>
      </c>
    </row>
    <row r="372">
      <c r="A372" s="21" t="n"/>
      <c r="B372" s="22" t="n"/>
      <c r="C372" s="23" t="n"/>
      <c r="D372" s="22" t="n"/>
      <c r="E372" s="23" t="n"/>
      <c r="F372" s="22" t="n"/>
      <c r="G372" s="24" t="n"/>
      <c r="H372" s="25" t="n"/>
      <c r="I372" s="26">
        <f>IF(OR($G372="",$H372=""),"",$G372*$H372)</f>
        <v/>
      </c>
    </row>
    <row r="373">
      <c r="A373" s="21" t="n"/>
      <c r="B373" s="22" t="n"/>
      <c r="C373" s="23" t="n"/>
      <c r="D373" s="22" t="n"/>
      <c r="E373" s="23" t="n"/>
      <c r="F373" s="22" t="n"/>
      <c r="G373" s="24" t="n"/>
      <c r="H373" s="25" t="n"/>
      <c r="I373" s="26">
        <f>IF(OR($G373="",$H373=""),"",$G373*$H373)</f>
        <v/>
      </c>
    </row>
    <row r="374">
      <c r="A374" s="21" t="n"/>
      <c r="B374" s="22" t="n"/>
      <c r="C374" s="23" t="n"/>
      <c r="D374" s="22" t="n"/>
      <c r="E374" s="23" t="n"/>
      <c r="F374" s="22" t="n"/>
      <c r="G374" s="24" t="n"/>
      <c r="H374" s="25" t="n"/>
      <c r="I374" s="26">
        <f>IF(OR($G374="",$H374=""),"",$G374*$H374)</f>
        <v/>
      </c>
    </row>
    <row r="375">
      <c r="A375" s="21" t="n"/>
      <c r="B375" s="22" t="n"/>
      <c r="C375" s="23" t="n"/>
      <c r="D375" s="22" t="n"/>
      <c r="E375" s="23" t="n"/>
      <c r="F375" s="22" t="n"/>
      <c r="G375" s="24" t="n"/>
      <c r="H375" s="25" t="n"/>
      <c r="I375" s="26">
        <f>IF(OR($G375="",$H375=""),"",$G375*$H375)</f>
        <v/>
      </c>
    </row>
    <row r="376">
      <c r="A376" s="21" t="n"/>
      <c r="B376" s="22" t="n"/>
      <c r="C376" s="23" t="n"/>
      <c r="D376" s="22" t="n"/>
      <c r="E376" s="23" t="n"/>
      <c r="F376" s="22" t="n"/>
      <c r="G376" s="24" t="n"/>
      <c r="H376" s="25" t="n"/>
      <c r="I376" s="26">
        <f>IF(OR($G376="",$H376=""),"",$G376*$H376)</f>
        <v/>
      </c>
    </row>
    <row r="377">
      <c r="A377" s="21" t="n"/>
      <c r="B377" s="22" t="n"/>
      <c r="C377" s="23" t="n"/>
      <c r="D377" s="22" t="n"/>
      <c r="E377" s="23" t="n"/>
      <c r="F377" s="22" t="n"/>
      <c r="G377" s="24" t="n"/>
      <c r="H377" s="25" t="n"/>
      <c r="I377" s="26">
        <f>IF(OR($G377="",$H377=""),"",$G377*$H377)</f>
        <v/>
      </c>
    </row>
    <row r="378">
      <c r="A378" s="21" t="n"/>
      <c r="B378" s="22" t="n"/>
      <c r="C378" s="23" t="n"/>
      <c r="D378" s="22" t="n"/>
      <c r="E378" s="23" t="n"/>
      <c r="F378" s="22" t="n"/>
      <c r="G378" s="24" t="n"/>
      <c r="H378" s="25" t="n"/>
      <c r="I378" s="26">
        <f>IF(OR($G378="",$H378=""),"",$G378*$H378)</f>
        <v/>
      </c>
    </row>
    <row r="379">
      <c r="A379" s="21" t="n"/>
      <c r="B379" s="22" t="n"/>
      <c r="C379" s="23" t="n"/>
      <c r="D379" s="22" t="n"/>
      <c r="E379" s="23" t="n"/>
      <c r="F379" s="22" t="n"/>
      <c r="G379" s="24" t="n"/>
      <c r="H379" s="25" t="n"/>
      <c r="I379" s="26">
        <f>IF(OR($G379="",$H379=""),"",$G379*$H379)</f>
        <v/>
      </c>
    </row>
    <row r="380">
      <c r="A380" s="21" t="n"/>
      <c r="B380" s="22" t="n"/>
      <c r="C380" s="23" t="n"/>
      <c r="D380" s="22" t="n"/>
      <c r="E380" s="23" t="n"/>
      <c r="F380" s="22" t="n"/>
      <c r="G380" s="24" t="n"/>
      <c r="H380" s="25" t="n"/>
      <c r="I380" s="26">
        <f>IF(OR($G380="",$H380=""),"",$G380*$H380)</f>
        <v/>
      </c>
    </row>
    <row r="381">
      <c r="A381" s="21" t="n"/>
      <c r="B381" s="22" t="n"/>
      <c r="C381" s="23" t="n"/>
      <c r="D381" s="22" t="n"/>
      <c r="E381" s="23" t="n"/>
      <c r="F381" s="22" t="n"/>
      <c r="G381" s="24" t="n"/>
      <c r="H381" s="25" t="n"/>
      <c r="I381" s="26">
        <f>IF(OR($G381="",$H381=""),"",$G381*$H381)</f>
        <v/>
      </c>
    </row>
    <row r="382">
      <c r="A382" s="21" t="n"/>
      <c r="B382" s="22" t="n"/>
      <c r="C382" s="23" t="n"/>
      <c r="D382" s="22" t="n"/>
      <c r="E382" s="23" t="n"/>
      <c r="F382" s="22" t="n"/>
      <c r="G382" s="24" t="n"/>
      <c r="H382" s="25" t="n"/>
      <c r="I382" s="26">
        <f>IF(OR($G382="",$H382=""),"",$G382*$H382)</f>
        <v/>
      </c>
    </row>
    <row r="383">
      <c r="A383" s="21" t="n"/>
      <c r="B383" s="22" t="n"/>
      <c r="C383" s="23" t="n"/>
      <c r="D383" s="22" t="n"/>
      <c r="E383" s="23" t="n"/>
      <c r="F383" s="22" t="n"/>
      <c r="G383" s="24" t="n"/>
      <c r="H383" s="25" t="n"/>
      <c r="I383" s="26">
        <f>IF(OR($G383="",$H383=""),"",$G383*$H383)</f>
        <v/>
      </c>
    </row>
    <row r="384">
      <c r="A384" s="21" t="n"/>
      <c r="B384" s="22" t="n"/>
      <c r="C384" s="23" t="n"/>
      <c r="D384" s="22" t="n"/>
      <c r="E384" s="23" t="n"/>
      <c r="F384" s="22" t="n"/>
      <c r="G384" s="24" t="n"/>
      <c r="H384" s="25" t="n"/>
      <c r="I384" s="26">
        <f>IF(OR($G384="",$H384=""),"",$G384*$H384)</f>
        <v/>
      </c>
    </row>
    <row r="385">
      <c r="A385" s="21" t="n"/>
      <c r="B385" s="22" t="n"/>
      <c r="C385" s="23" t="n"/>
      <c r="D385" s="22" t="n"/>
      <c r="E385" s="23" t="n"/>
      <c r="F385" s="22" t="n"/>
      <c r="G385" s="24" t="n"/>
      <c r="H385" s="25" t="n"/>
      <c r="I385" s="26">
        <f>IF(OR($G385="",$H385=""),"",$G385*$H385)</f>
        <v/>
      </c>
    </row>
    <row r="386">
      <c r="A386" s="21" t="n"/>
      <c r="B386" s="22" t="n"/>
      <c r="C386" s="23" t="n"/>
      <c r="D386" s="22" t="n"/>
      <c r="E386" s="23" t="n"/>
      <c r="F386" s="22" t="n"/>
      <c r="G386" s="24" t="n"/>
      <c r="H386" s="25" t="n"/>
      <c r="I386" s="26">
        <f>IF(OR($G386="",$H386=""),"",$G386*$H386)</f>
        <v/>
      </c>
    </row>
    <row r="387">
      <c r="A387" s="21" t="n"/>
      <c r="B387" s="22" t="n"/>
      <c r="C387" s="23" t="n"/>
      <c r="D387" s="22" t="n"/>
      <c r="E387" s="23" t="n"/>
      <c r="F387" s="22" t="n"/>
      <c r="G387" s="24" t="n"/>
      <c r="H387" s="25" t="n"/>
      <c r="I387" s="26">
        <f>IF(OR($G387="",$H387=""),"",$G387*$H387)</f>
        <v/>
      </c>
    </row>
    <row r="388">
      <c r="A388" s="21" t="n"/>
      <c r="B388" s="22" t="n"/>
      <c r="C388" s="23" t="n"/>
      <c r="D388" s="22" t="n"/>
      <c r="E388" s="23" t="n"/>
      <c r="F388" s="22" t="n"/>
      <c r="G388" s="24" t="n"/>
      <c r="H388" s="25" t="n"/>
      <c r="I388" s="26">
        <f>IF(OR($G388="",$H388=""),"",$G388*$H388)</f>
        <v/>
      </c>
    </row>
    <row r="389">
      <c r="A389" s="21" t="n"/>
      <c r="B389" s="22" t="n"/>
      <c r="C389" s="23" t="n"/>
      <c r="D389" s="22" t="n"/>
      <c r="E389" s="23" t="n"/>
      <c r="F389" s="22" t="n"/>
      <c r="G389" s="24" t="n"/>
      <c r="H389" s="25" t="n"/>
      <c r="I389" s="26">
        <f>IF(OR($G389="",$H389=""),"",$G389*$H389)</f>
        <v/>
      </c>
    </row>
    <row r="390">
      <c r="A390" s="21" t="n"/>
      <c r="B390" s="22" t="n"/>
      <c r="C390" s="23" t="n"/>
      <c r="D390" s="22" t="n"/>
      <c r="E390" s="23" t="n"/>
      <c r="F390" s="22" t="n"/>
      <c r="G390" s="24" t="n"/>
      <c r="H390" s="25" t="n"/>
      <c r="I390" s="26">
        <f>IF(OR($G390="",$H390=""),"",$G390*$H390)</f>
        <v/>
      </c>
    </row>
    <row r="391">
      <c r="A391" s="21" t="n"/>
      <c r="B391" s="22" t="n"/>
      <c r="C391" s="23" t="n"/>
      <c r="D391" s="22" t="n"/>
      <c r="E391" s="23" t="n"/>
      <c r="F391" s="22" t="n"/>
      <c r="G391" s="24" t="n"/>
      <c r="H391" s="25" t="n"/>
      <c r="I391" s="26">
        <f>IF(OR($G391="",$H391=""),"",$G391*$H391)</f>
        <v/>
      </c>
    </row>
    <row r="392">
      <c r="A392" s="21" t="n"/>
      <c r="B392" s="22" t="n"/>
      <c r="C392" s="23" t="n"/>
      <c r="D392" s="22" t="n"/>
      <c r="E392" s="23" t="n"/>
      <c r="F392" s="22" t="n"/>
      <c r="G392" s="24" t="n"/>
      <c r="H392" s="25" t="n"/>
      <c r="I392" s="26">
        <f>IF(OR($G392="",$H392=""),"",$G392*$H392)</f>
        <v/>
      </c>
    </row>
    <row r="393">
      <c r="A393" s="21" t="n"/>
      <c r="B393" s="22" t="n"/>
      <c r="C393" s="23" t="n"/>
      <c r="D393" s="22" t="n"/>
      <c r="E393" s="23" t="n"/>
      <c r="F393" s="22" t="n"/>
      <c r="G393" s="24" t="n"/>
      <c r="H393" s="25" t="n"/>
      <c r="I393" s="26">
        <f>IF(OR($G393="",$H393=""),"",$G393*$H393)</f>
        <v/>
      </c>
    </row>
    <row r="394">
      <c r="A394" s="21" t="n"/>
      <c r="B394" s="22" t="n"/>
      <c r="C394" s="23" t="n"/>
      <c r="D394" s="22" t="n"/>
      <c r="E394" s="23" t="n"/>
      <c r="F394" s="22" t="n"/>
      <c r="G394" s="24" t="n"/>
      <c r="H394" s="25" t="n"/>
      <c r="I394" s="26">
        <f>IF(OR($G394="",$H394=""),"",$G394*$H394)</f>
        <v/>
      </c>
    </row>
    <row r="395">
      <c r="A395" s="21" t="n"/>
      <c r="B395" s="22" t="n"/>
      <c r="C395" s="23" t="n"/>
      <c r="D395" s="22" t="n"/>
      <c r="E395" s="23" t="n"/>
      <c r="F395" s="22" t="n"/>
      <c r="G395" s="24" t="n"/>
      <c r="H395" s="25" t="n"/>
      <c r="I395" s="26">
        <f>IF(OR($G395="",$H395=""),"",$G395*$H395)</f>
        <v/>
      </c>
    </row>
    <row r="396">
      <c r="A396" s="21" t="n"/>
      <c r="B396" s="22" t="n"/>
      <c r="C396" s="23" t="n"/>
      <c r="D396" s="22" t="n"/>
      <c r="E396" s="23" t="n"/>
      <c r="F396" s="22" t="n"/>
      <c r="G396" s="24" t="n"/>
      <c r="H396" s="25" t="n"/>
      <c r="I396" s="26">
        <f>IF(OR($G396="",$H396=""),"",$G396*$H396)</f>
        <v/>
      </c>
    </row>
    <row r="397">
      <c r="A397" s="21" t="n"/>
      <c r="B397" s="22" t="n"/>
      <c r="C397" s="23" t="n"/>
      <c r="D397" s="22" t="n"/>
      <c r="E397" s="23" t="n"/>
      <c r="F397" s="22" t="n"/>
      <c r="G397" s="24" t="n"/>
      <c r="H397" s="25" t="n"/>
      <c r="I397" s="26">
        <f>IF(OR($G397="",$H397=""),"",$G397*$H397)</f>
        <v/>
      </c>
    </row>
    <row r="398">
      <c r="A398" s="21" t="n"/>
      <c r="B398" s="22" t="n"/>
      <c r="C398" s="23" t="n"/>
      <c r="D398" s="22" t="n"/>
      <c r="E398" s="23" t="n"/>
      <c r="F398" s="22" t="n"/>
      <c r="G398" s="24" t="n"/>
      <c r="H398" s="25" t="n"/>
      <c r="I398" s="26">
        <f>IF(OR($G398="",$H398=""),"",$G398*$H398)</f>
        <v/>
      </c>
    </row>
    <row r="399">
      <c r="A399" s="21" t="n"/>
      <c r="B399" s="22" t="n"/>
      <c r="C399" s="23" t="n"/>
      <c r="D399" s="22" t="n"/>
      <c r="E399" s="23" t="n"/>
      <c r="F399" s="22" t="n"/>
      <c r="G399" s="24" t="n"/>
      <c r="H399" s="25" t="n"/>
      <c r="I399" s="26">
        <f>IF(OR($G399="",$H399=""),"",$G399*$H399)</f>
        <v/>
      </c>
    </row>
    <row r="400">
      <c r="A400" s="21" t="n"/>
      <c r="B400" s="22" t="n"/>
      <c r="C400" s="23" t="n"/>
      <c r="D400" s="22" t="n"/>
      <c r="E400" s="23" t="n"/>
      <c r="F400" s="22" t="n"/>
      <c r="G400" s="24" t="n"/>
      <c r="H400" s="25" t="n"/>
      <c r="I400" s="26">
        <f>IF(OR($G400="",$H400=""),"",$G400*$H400)</f>
        <v/>
      </c>
    </row>
    <row r="401">
      <c r="A401" s="21" t="n"/>
      <c r="B401" s="22" t="n"/>
      <c r="C401" s="23" t="n"/>
      <c r="D401" s="22" t="n"/>
      <c r="E401" s="23" t="n"/>
      <c r="F401" s="22" t="n"/>
      <c r="G401" s="24" t="n"/>
      <c r="H401" s="25" t="n"/>
      <c r="I401" s="26">
        <f>IF(OR($G401="",$H401=""),"",$G401*$H401)</f>
        <v/>
      </c>
    </row>
    <row r="402">
      <c r="A402" s="21" t="n"/>
      <c r="B402" s="22" t="n"/>
      <c r="C402" s="23" t="n"/>
      <c r="D402" s="22" t="n"/>
      <c r="E402" s="23" t="n"/>
      <c r="F402" s="22" t="n"/>
      <c r="G402" s="24" t="n"/>
      <c r="H402" s="25" t="n"/>
      <c r="I402" s="26">
        <f>IF(OR($G402="",$H402=""),"",$G402*$H402)</f>
        <v/>
      </c>
    </row>
    <row r="403">
      <c r="A403" s="21" t="n"/>
      <c r="B403" s="22" t="n"/>
      <c r="C403" s="23" t="n"/>
      <c r="D403" s="22" t="n"/>
      <c r="E403" s="23" t="n"/>
      <c r="F403" s="22" t="n"/>
      <c r="G403" s="24" t="n"/>
      <c r="H403" s="25" t="n"/>
      <c r="I403" s="26">
        <f>IF(OR($G403="",$H403=""),"",$G403*$H403)</f>
        <v/>
      </c>
    </row>
    <row r="404">
      <c r="A404" s="21" t="n"/>
      <c r="B404" s="22" t="n"/>
      <c r="C404" s="23" t="n"/>
      <c r="D404" s="22" t="n"/>
      <c r="E404" s="23" t="n"/>
      <c r="F404" s="22" t="n"/>
      <c r="G404" s="24" t="n"/>
      <c r="H404" s="25" t="n"/>
      <c r="I404" s="26">
        <f>IF(OR($G404="",$H404=""),"",$G404*$H404)</f>
        <v/>
      </c>
    </row>
    <row r="405">
      <c r="A405" s="21" t="n"/>
      <c r="B405" s="22" t="n"/>
      <c r="C405" s="23" t="n"/>
      <c r="D405" s="22" t="n"/>
      <c r="E405" s="23" t="n"/>
      <c r="F405" s="22" t="n"/>
      <c r="G405" s="24" t="n"/>
      <c r="H405" s="25" t="n"/>
      <c r="I405" s="26">
        <f>IF(OR($G405="",$H405=""),"",$G405*$H405)</f>
        <v/>
      </c>
    </row>
    <row r="406">
      <c r="A406" s="21" t="n"/>
      <c r="B406" s="22" t="n"/>
      <c r="C406" s="23" t="n"/>
      <c r="D406" s="22" t="n"/>
      <c r="E406" s="23" t="n"/>
      <c r="F406" s="22" t="n"/>
      <c r="G406" s="24" t="n"/>
      <c r="H406" s="25" t="n"/>
      <c r="I406" s="26">
        <f>IF(OR($G406="",$H406=""),"",$G406*$H406)</f>
        <v/>
      </c>
    </row>
    <row r="407">
      <c r="A407" s="21" t="n"/>
      <c r="B407" s="22" t="n"/>
      <c r="C407" s="23" t="n"/>
      <c r="D407" s="22" t="n"/>
      <c r="E407" s="23" t="n"/>
      <c r="F407" s="22" t="n"/>
      <c r="G407" s="24" t="n"/>
      <c r="H407" s="25" t="n"/>
      <c r="I407" s="26">
        <f>IF(OR($G407="",$H407=""),"",$G407*$H407)</f>
        <v/>
      </c>
    </row>
    <row r="408">
      <c r="A408" s="21" t="n"/>
      <c r="B408" s="22" t="n"/>
      <c r="C408" s="23" t="n"/>
      <c r="D408" s="22" t="n"/>
      <c r="E408" s="23" t="n"/>
      <c r="F408" s="22" t="n"/>
      <c r="G408" s="24" t="n"/>
      <c r="H408" s="25" t="n"/>
      <c r="I408" s="26">
        <f>IF(OR($G408="",$H408=""),"",$G408*$H408)</f>
        <v/>
      </c>
    </row>
    <row r="409">
      <c r="A409" s="21" t="n"/>
      <c r="B409" s="22" t="n"/>
      <c r="C409" s="23" t="n"/>
      <c r="D409" s="22" t="n"/>
      <c r="E409" s="23" t="n"/>
      <c r="F409" s="22" t="n"/>
      <c r="G409" s="24" t="n"/>
      <c r="H409" s="25" t="n"/>
      <c r="I409" s="26">
        <f>IF(OR($G409="",$H409=""),"",$G409*$H409)</f>
        <v/>
      </c>
    </row>
    <row r="410">
      <c r="A410" s="21" t="n"/>
      <c r="B410" s="22" t="n"/>
      <c r="C410" s="23" t="n"/>
      <c r="D410" s="22" t="n"/>
      <c r="E410" s="23" t="n"/>
      <c r="F410" s="22" t="n"/>
      <c r="G410" s="24" t="n"/>
      <c r="H410" s="25" t="n"/>
      <c r="I410" s="26">
        <f>IF(OR($G410="",$H410=""),"",$G410*$H410)</f>
        <v/>
      </c>
    </row>
    <row r="411">
      <c r="A411" s="21" t="n"/>
      <c r="B411" s="22" t="n"/>
      <c r="C411" s="23" t="n"/>
      <c r="D411" s="22" t="n"/>
      <c r="E411" s="23" t="n"/>
      <c r="F411" s="22" t="n"/>
      <c r="G411" s="24" t="n"/>
      <c r="H411" s="25" t="n"/>
      <c r="I411" s="26">
        <f>IF(OR($G411="",$H411=""),"",$G411*$H411)</f>
        <v/>
      </c>
    </row>
    <row r="412">
      <c r="A412" s="21" t="n"/>
      <c r="B412" s="22" t="n"/>
      <c r="C412" s="23" t="n"/>
      <c r="D412" s="22" t="n"/>
      <c r="E412" s="23" t="n"/>
      <c r="F412" s="22" t="n"/>
      <c r="G412" s="24" t="n"/>
      <c r="H412" s="25" t="n"/>
      <c r="I412" s="26">
        <f>IF(OR($G412="",$H412=""),"",$G412*$H412)</f>
        <v/>
      </c>
    </row>
    <row r="413">
      <c r="A413" s="21" t="n"/>
      <c r="B413" s="22" t="n"/>
      <c r="C413" s="23" t="n"/>
      <c r="D413" s="22" t="n"/>
      <c r="E413" s="23" t="n"/>
      <c r="F413" s="22" t="n"/>
      <c r="G413" s="24" t="n"/>
      <c r="H413" s="25" t="n"/>
      <c r="I413" s="26">
        <f>IF(OR($G413="",$H413=""),"",$G413*$H413)</f>
        <v/>
      </c>
    </row>
    <row r="414">
      <c r="A414" s="21" t="n"/>
      <c r="B414" s="22" t="n"/>
      <c r="C414" s="23" t="n"/>
      <c r="D414" s="22" t="n"/>
      <c r="E414" s="23" t="n"/>
      <c r="F414" s="22" t="n"/>
      <c r="G414" s="24" t="n"/>
      <c r="H414" s="25" t="n"/>
      <c r="I414" s="26">
        <f>IF(OR($G414="",$H414=""),"",$G414*$H414)</f>
        <v/>
      </c>
    </row>
    <row r="415">
      <c r="A415" s="21" t="n"/>
      <c r="B415" s="22" t="n"/>
      <c r="C415" s="23" t="n"/>
      <c r="D415" s="22" t="n"/>
      <c r="E415" s="23" t="n"/>
      <c r="F415" s="22" t="n"/>
      <c r="G415" s="24" t="n"/>
      <c r="H415" s="25" t="n"/>
      <c r="I415" s="26">
        <f>IF(OR($G415="",$H415=""),"",$G415*$H415)</f>
        <v/>
      </c>
    </row>
    <row r="416">
      <c r="A416" s="21" t="n"/>
      <c r="B416" s="22" t="n"/>
      <c r="C416" s="23" t="n"/>
      <c r="D416" s="22" t="n"/>
      <c r="E416" s="23" t="n"/>
      <c r="F416" s="22" t="n"/>
      <c r="G416" s="24" t="n"/>
      <c r="H416" s="25" t="n"/>
      <c r="I416" s="26">
        <f>IF(OR($G416="",$H416=""),"",$G416*$H416)</f>
        <v/>
      </c>
    </row>
    <row r="417">
      <c r="A417" s="21" t="n"/>
      <c r="B417" s="22" t="n"/>
      <c r="C417" s="23" t="n"/>
      <c r="D417" s="22" t="n"/>
      <c r="E417" s="23" t="n"/>
      <c r="F417" s="22" t="n"/>
      <c r="G417" s="24" t="n"/>
      <c r="H417" s="25" t="n"/>
      <c r="I417" s="26">
        <f>IF(OR($G417="",$H417=""),"",$G417*$H417)</f>
        <v/>
      </c>
    </row>
    <row r="418">
      <c r="A418" s="21" t="n"/>
      <c r="B418" s="22" t="n"/>
      <c r="C418" s="23" t="n"/>
      <c r="D418" s="22" t="n"/>
      <c r="E418" s="23" t="n"/>
      <c r="F418" s="22" t="n"/>
      <c r="G418" s="24" t="n"/>
      <c r="H418" s="25" t="n"/>
      <c r="I418" s="26">
        <f>IF(OR($G418="",$H418=""),"",$G418*$H418)</f>
        <v/>
      </c>
    </row>
    <row r="419">
      <c r="A419" s="21" t="n"/>
      <c r="B419" s="22" t="n"/>
      <c r="C419" s="23" t="n"/>
      <c r="D419" s="22" t="n"/>
      <c r="E419" s="23" t="n"/>
      <c r="F419" s="22" t="n"/>
      <c r="G419" s="24" t="n"/>
      <c r="H419" s="25" t="n"/>
      <c r="I419" s="26">
        <f>IF(OR($G419="",$H419=""),"",$G419*$H419)</f>
        <v/>
      </c>
    </row>
    <row r="420">
      <c r="A420" s="21" t="n"/>
      <c r="B420" s="22" t="n"/>
      <c r="C420" s="23" t="n"/>
      <c r="D420" s="22" t="n"/>
      <c r="E420" s="23" t="n"/>
      <c r="F420" s="22" t="n"/>
      <c r="G420" s="24" t="n"/>
      <c r="H420" s="25" t="n"/>
      <c r="I420" s="26">
        <f>IF(OR($G420="",$H420=""),"",$G420*$H420)</f>
        <v/>
      </c>
    </row>
    <row r="421">
      <c r="A421" s="21" t="n"/>
      <c r="B421" s="22" t="n"/>
      <c r="C421" s="23" t="n"/>
      <c r="D421" s="22" t="n"/>
      <c r="E421" s="23" t="n"/>
      <c r="F421" s="22" t="n"/>
      <c r="G421" s="24" t="n"/>
      <c r="H421" s="25" t="n"/>
      <c r="I421" s="26">
        <f>IF(OR($G421="",$H421=""),"",$G421*$H421)</f>
        <v/>
      </c>
    </row>
    <row r="422">
      <c r="A422" s="21" t="n"/>
      <c r="B422" s="22" t="n"/>
      <c r="C422" s="23" t="n"/>
      <c r="D422" s="22" t="n"/>
      <c r="E422" s="23" t="n"/>
      <c r="F422" s="22" t="n"/>
      <c r="G422" s="24" t="n"/>
      <c r="H422" s="25" t="n"/>
      <c r="I422" s="26">
        <f>IF(OR($G422="",$H422=""),"",$G422*$H422)</f>
        <v/>
      </c>
    </row>
    <row r="423">
      <c r="A423" s="21" t="n"/>
      <c r="B423" s="22" t="n"/>
      <c r="C423" s="23" t="n"/>
      <c r="D423" s="22" t="n"/>
      <c r="E423" s="23" t="n"/>
      <c r="F423" s="22" t="n"/>
      <c r="G423" s="24" t="n"/>
      <c r="H423" s="25" t="n"/>
      <c r="I423" s="26">
        <f>IF(OR($G423="",$H423=""),"",$G423*$H423)</f>
        <v/>
      </c>
    </row>
    <row r="424">
      <c r="A424" s="21" t="n"/>
      <c r="B424" s="22" t="n"/>
      <c r="C424" s="23" t="n"/>
      <c r="D424" s="22" t="n"/>
      <c r="E424" s="23" t="n"/>
      <c r="F424" s="22" t="n"/>
      <c r="G424" s="24" t="n"/>
      <c r="H424" s="25" t="n"/>
      <c r="I424" s="26">
        <f>IF(OR($G424="",$H424=""),"",$G424*$H424)</f>
        <v/>
      </c>
    </row>
    <row r="425">
      <c r="A425" s="21" t="n"/>
      <c r="B425" s="22" t="n"/>
      <c r="C425" s="23" t="n"/>
      <c r="D425" s="22" t="n"/>
      <c r="E425" s="23" t="n"/>
      <c r="F425" s="22" t="n"/>
      <c r="G425" s="24" t="n"/>
      <c r="H425" s="25" t="n"/>
      <c r="I425" s="26">
        <f>IF(OR($G425="",$H425=""),"",$G425*$H425)</f>
        <v/>
      </c>
    </row>
    <row r="426">
      <c r="A426" s="21" t="n"/>
      <c r="B426" s="22" t="n"/>
      <c r="C426" s="23" t="n"/>
      <c r="D426" s="22" t="n"/>
      <c r="E426" s="23" t="n"/>
      <c r="F426" s="22" t="n"/>
      <c r="G426" s="24" t="n"/>
      <c r="H426" s="25" t="n"/>
      <c r="I426" s="26">
        <f>IF(OR($G426="",$H426=""),"",$G426*$H426)</f>
        <v/>
      </c>
    </row>
    <row r="427">
      <c r="A427" s="21" t="n"/>
      <c r="B427" s="22" t="n"/>
      <c r="C427" s="23" t="n"/>
      <c r="D427" s="22" t="n"/>
      <c r="E427" s="23" t="n"/>
      <c r="F427" s="22" t="n"/>
      <c r="G427" s="24" t="n"/>
      <c r="H427" s="25" t="n"/>
      <c r="I427" s="26">
        <f>IF(OR($G427="",$H427=""),"",$G427*$H427)</f>
        <v/>
      </c>
    </row>
    <row r="428">
      <c r="A428" s="21" t="n"/>
      <c r="B428" s="22" t="n"/>
      <c r="C428" s="23" t="n"/>
      <c r="D428" s="22" t="n"/>
      <c r="E428" s="23" t="n"/>
      <c r="F428" s="22" t="n"/>
      <c r="G428" s="24" t="n"/>
      <c r="H428" s="25" t="n"/>
      <c r="I428" s="26">
        <f>IF(OR($G428="",$H428=""),"",$G428*$H428)</f>
        <v/>
      </c>
    </row>
    <row r="429">
      <c r="A429" s="21" t="n"/>
      <c r="B429" s="22" t="n"/>
      <c r="C429" s="23" t="n"/>
      <c r="D429" s="22" t="n"/>
      <c r="E429" s="23" t="n"/>
      <c r="F429" s="22" t="n"/>
      <c r="G429" s="24" t="n"/>
      <c r="H429" s="25" t="n"/>
      <c r="I429" s="26">
        <f>IF(OR($G429="",$H429=""),"",$G429*$H429)</f>
        <v/>
      </c>
    </row>
    <row r="430">
      <c r="A430" s="21" t="n"/>
      <c r="B430" s="22" t="n"/>
      <c r="C430" s="23" t="n"/>
      <c r="D430" s="22" t="n"/>
      <c r="E430" s="23" t="n"/>
      <c r="F430" s="22" t="n"/>
      <c r="G430" s="24" t="n"/>
      <c r="H430" s="25" t="n"/>
      <c r="I430" s="26">
        <f>IF(OR($G430="",$H430=""),"",$G430*$H430)</f>
        <v/>
      </c>
    </row>
    <row r="431">
      <c r="A431" s="21" t="n"/>
      <c r="B431" s="22" t="n"/>
      <c r="C431" s="23" t="n"/>
      <c r="D431" s="22" t="n"/>
      <c r="E431" s="23" t="n"/>
      <c r="F431" s="22" t="n"/>
      <c r="G431" s="24" t="n"/>
      <c r="H431" s="25" t="n"/>
      <c r="I431" s="26">
        <f>IF(OR($G431="",$H431=""),"",$G431*$H431)</f>
        <v/>
      </c>
    </row>
    <row r="432">
      <c r="A432" s="21" t="n"/>
      <c r="B432" s="22" t="n"/>
      <c r="C432" s="23" t="n"/>
      <c r="D432" s="22" t="n"/>
      <c r="E432" s="23" t="n"/>
      <c r="F432" s="22" t="n"/>
      <c r="G432" s="24" t="n"/>
      <c r="H432" s="25" t="n"/>
      <c r="I432" s="26">
        <f>IF(OR($G432="",$H432=""),"",$G432*$H432)</f>
        <v/>
      </c>
    </row>
    <row r="433">
      <c r="A433" s="21" t="n"/>
      <c r="B433" s="22" t="n"/>
      <c r="C433" s="23" t="n"/>
      <c r="D433" s="22" t="n"/>
      <c r="E433" s="23" t="n"/>
      <c r="F433" s="22" t="n"/>
      <c r="G433" s="24" t="n"/>
      <c r="H433" s="25" t="n"/>
      <c r="I433" s="26">
        <f>IF(OR($G433="",$H433=""),"",$G433*$H433)</f>
        <v/>
      </c>
    </row>
    <row r="434">
      <c r="A434" s="21" t="n"/>
      <c r="B434" s="22" t="n"/>
      <c r="C434" s="23" t="n"/>
      <c r="D434" s="22" t="n"/>
      <c r="E434" s="23" t="n"/>
      <c r="F434" s="22" t="n"/>
      <c r="G434" s="24" t="n"/>
      <c r="H434" s="25" t="n"/>
      <c r="I434" s="26">
        <f>IF(OR($G434="",$H434=""),"",$G434*$H434)</f>
        <v/>
      </c>
    </row>
    <row r="435">
      <c r="A435" s="21" t="n"/>
      <c r="B435" s="22" t="n"/>
      <c r="C435" s="23" t="n"/>
      <c r="D435" s="22" t="n"/>
      <c r="E435" s="23" t="n"/>
      <c r="F435" s="22" t="n"/>
      <c r="G435" s="24" t="n"/>
      <c r="H435" s="25" t="n"/>
      <c r="I435" s="26">
        <f>IF(OR($G435="",$H435=""),"",$G435*$H435)</f>
        <v/>
      </c>
    </row>
    <row r="436">
      <c r="A436" s="21" t="n"/>
      <c r="B436" s="22" t="n"/>
      <c r="C436" s="23" t="n"/>
      <c r="D436" s="22" t="n"/>
      <c r="E436" s="23" t="n"/>
      <c r="F436" s="22" t="n"/>
      <c r="G436" s="24" t="n"/>
      <c r="H436" s="25" t="n"/>
      <c r="I436" s="26">
        <f>IF(OR($G436="",$H436=""),"",$G436*$H436)</f>
        <v/>
      </c>
    </row>
    <row r="437">
      <c r="A437" s="21" t="n"/>
      <c r="B437" s="22" t="n"/>
      <c r="C437" s="23" t="n"/>
      <c r="D437" s="22" t="n"/>
      <c r="E437" s="23" t="n"/>
      <c r="F437" s="22" t="n"/>
      <c r="G437" s="24" t="n"/>
      <c r="H437" s="25" t="n"/>
      <c r="I437" s="26">
        <f>IF(OR($G437="",$H437=""),"",$G437*$H437)</f>
        <v/>
      </c>
    </row>
    <row r="438">
      <c r="A438" s="21" t="n"/>
      <c r="B438" s="22" t="n"/>
      <c r="C438" s="23" t="n"/>
      <c r="D438" s="22" t="n"/>
      <c r="E438" s="23" t="n"/>
      <c r="F438" s="22" t="n"/>
      <c r="G438" s="24" t="n"/>
      <c r="H438" s="25" t="n"/>
      <c r="I438" s="26">
        <f>IF(OR($G438="",$H438=""),"",$G438*$H438)</f>
        <v/>
      </c>
    </row>
    <row r="439">
      <c r="A439" s="21" t="n"/>
      <c r="B439" s="22" t="n"/>
      <c r="C439" s="23" t="n"/>
      <c r="D439" s="22" t="n"/>
      <c r="E439" s="23" t="n"/>
      <c r="F439" s="22" t="n"/>
      <c r="G439" s="24" t="n"/>
      <c r="H439" s="25" t="n"/>
      <c r="I439" s="26">
        <f>IF(OR($G439="",$H439=""),"",$G439*$H439)</f>
        <v/>
      </c>
    </row>
    <row r="440">
      <c r="A440" s="21" t="n"/>
      <c r="B440" s="22" t="n"/>
      <c r="C440" s="23" t="n"/>
      <c r="D440" s="22" t="n"/>
      <c r="E440" s="23" t="n"/>
      <c r="F440" s="22" t="n"/>
      <c r="G440" s="24" t="n"/>
      <c r="H440" s="25" t="n"/>
      <c r="I440" s="26">
        <f>IF(OR($G440="",$H440=""),"",$G440*$H440)</f>
        <v/>
      </c>
    </row>
    <row r="441">
      <c r="A441" s="21" t="n"/>
      <c r="B441" s="22" t="n"/>
      <c r="C441" s="23" t="n"/>
      <c r="D441" s="22" t="n"/>
      <c r="E441" s="23" t="n"/>
      <c r="F441" s="22" t="n"/>
      <c r="G441" s="24" t="n"/>
      <c r="H441" s="25" t="n"/>
      <c r="I441" s="26">
        <f>IF(OR($G441="",$H441=""),"",$G441*$H441)</f>
        <v/>
      </c>
    </row>
    <row r="442">
      <c r="A442" s="21" t="n"/>
      <c r="B442" s="22" t="n"/>
      <c r="C442" s="23" t="n"/>
      <c r="D442" s="22" t="n"/>
      <c r="E442" s="23" t="n"/>
      <c r="F442" s="22" t="n"/>
      <c r="G442" s="24" t="n"/>
      <c r="H442" s="25" t="n"/>
      <c r="I442" s="26">
        <f>IF(OR($G442="",$H442=""),"",$G442*$H442)</f>
        <v/>
      </c>
    </row>
    <row r="443">
      <c r="A443" s="21" t="n"/>
      <c r="B443" s="22" t="n"/>
      <c r="C443" s="23" t="n"/>
      <c r="D443" s="22" t="n"/>
      <c r="E443" s="23" t="n"/>
      <c r="F443" s="22" t="n"/>
      <c r="G443" s="24" t="n"/>
      <c r="H443" s="25" t="n"/>
      <c r="I443" s="26">
        <f>IF(OR($G443="",$H443=""),"",$G443*$H443)</f>
        <v/>
      </c>
    </row>
    <row r="444">
      <c r="A444" s="21" t="n"/>
      <c r="B444" s="22" t="n"/>
      <c r="C444" s="23" t="n"/>
      <c r="D444" s="22" t="n"/>
      <c r="E444" s="23" t="n"/>
      <c r="F444" s="22" t="n"/>
      <c r="G444" s="24" t="n"/>
      <c r="H444" s="25" t="n"/>
      <c r="I444" s="26">
        <f>IF(OR($G444="",$H444=""),"",$G444*$H444)</f>
        <v/>
      </c>
    </row>
    <row r="445">
      <c r="A445" s="21" t="n"/>
      <c r="B445" s="22" t="n"/>
      <c r="C445" s="23" t="n"/>
      <c r="D445" s="22" t="n"/>
      <c r="E445" s="23" t="n"/>
      <c r="F445" s="22" t="n"/>
      <c r="G445" s="24" t="n"/>
      <c r="H445" s="25" t="n"/>
      <c r="I445" s="26">
        <f>IF(OR($G445="",$H445=""),"",$G445*$H445)</f>
        <v/>
      </c>
    </row>
    <row r="446">
      <c r="A446" s="21" t="n"/>
      <c r="B446" s="22" t="n"/>
      <c r="C446" s="23" t="n"/>
      <c r="D446" s="22" t="n"/>
      <c r="E446" s="23" t="n"/>
      <c r="F446" s="22" t="n"/>
      <c r="G446" s="24" t="n"/>
      <c r="H446" s="25" t="n"/>
      <c r="I446" s="26">
        <f>IF(OR($G446="",$H446=""),"",$G446*$H446)</f>
        <v/>
      </c>
    </row>
    <row r="447">
      <c r="A447" s="21" t="n"/>
      <c r="B447" s="22" t="n"/>
      <c r="C447" s="23" t="n"/>
      <c r="D447" s="22" t="n"/>
      <c r="E447" s="23" t="n"/>
      <c r="F447" s="22" t="n"/>
      <c r="G447" s="24" t="n"/>
      <c r="H447" s="25" t="n"/>
      <c r="I447" s="26">
        <f>IF(OR($G447="",$H447=""),"",$G447*$H447)</f>
        <v/>
      </c>
    </row>
    <row r="448">
      <c r="A448" s="21" t="n"/>
      <c r="B448" s="22" t="n"/>
      <c r="C448" s="23" t="n"/>
      <c r="D448" s="22" t="n"/>
      <c r="E448" s="23" t="n"/>
      <c r="F448" s="22" t="n"/>
      <c r="G448" s="24" t="n"/>
      <c r="H448" s="25" t="n"/>
      <c r="I448" s="26">
        <f>IF(OR($G448="",$H448=""),"",$G448*$H448)</f>
        <v/>
      </c>
    </row>
    <row r="449">
      <c r="A449" s="21" t="n"/>
      <c r="B449" s="22" t="n"/>
      <c r="C449" s="23" t="n"/>
      <c r="D449" s="22" t="n"/>
      <c r="E449" s="23" t="n"/>
      <c r="F449" s="22" t="n"/>
      <c r="G449" s="24" t="n"/>
      <c r="H449" s="25" t="n"/>
      <c r="I449" s="26">
        <f>IF(OR($G449="",$H449=""),"",$G449*$H449)</f>
        <v/>
      </c>
    </row>
    <row r="450">
      <c r="A450" s="21" t="n"/>
      <c r="B450" s="22" t="n"/>
      <c r="C450" s="23" t="n"/>
      <c r="D450" s="22" t="n"/>
      <c r="E450" s="23" t="n"/>
      <c r="F450" s="22" t="n"/>
      <c r="G450" s="24" t="n"/>
      <c r="H450" s="25" t="n"/>
      <c r="I450" s="26">
        <f>IF(OR($G450="",$H450=""),"",$G450*$H450)</f>
        <v/>
      </c>
    </row>
    <row r="451">
      <c r="A451" s="21" t="n"/>
      <c r="B451" s="22" t="n"/>
      <c r="C451" s="23" t="n"/>
      <c r="D451" s="22" t="n"/>
      <c r="E451" s="23" t="n"/>
      <c r="F451" s="22" t="n"/>
      <c r="G451" s="24" t="n"/>
      <c r="H451" s="25" t="n"/>
      <c r="I451" s="26">
        <f>IF(OR($G451="",$H451=""),"",$G451*$H451)</f>
        <v/>
      </c>
    </row>
    <row r="452">
      <c r="A452" s="21" t="n"/>
      <c r="B452" s="22" t="n"/>
      <c r="C452" s="23" t="n"/>
      <c r="D452" s="22" t="n"/>
      <c r="E452" s="23" t="n"/>
      <c r="F452" s="22" t="n"/>
      <c r="G452" s="24" t="n"/>
      <c r="H452" s="25" t="n"/>
      <c r="I452" s="26">
        <f>IF(OR($G452="",$H452=""),"",$G452*$H452)</f>
        <v/>
      </c>
    </row>
    <row r="453">
      <c r="A453" s="21" t="n"/>
      <c r="B453" s="22" t="n"/>
      <c r="C453" s="23" t="n"/>
      <c r="D453" s="22" t="n"/>
      <c r="E453" s="23" t="n"/>
      <c r="F453" s="22" t="n"/>
      <c r="G453" s="24" t="n"/>
      <c r="H453" s="25" t="n"/>
      <c r="I453" s="26">
        <f>IF(OR($G453="",$H453=""),"",$G453*$H453)</f>
        <v/>
      </c>
    </row>
    <row r="454">
      <c r="A454" s="21" t="n"/>
      <c r="B454" s="22" t="n"/>
      <c r="C454" s="23" t="n"/>
      <c r="D454" s="22" t="n"/>
      <c r="E454" s="23" t="n"/>
      <c r="F454" s="22" t="n"/>
      <c r="G454" s="24" t="n"/>
      <c r="H454" s="25" t="n"/>
      <c r="I454" s="26">
        <f>IF(OR($G454="",$H454=""),"",$G454*$H454)</f>
        <v/>
      </c>
    </row>
    <row r="455">
      <c r="A455" s="21" t="n"/>
      <c r="B455" s="22" t="n"/>
      <c r="C455" s="23" t="n"/>
      <c r="D455" s="22" t="n"/>
      <c r="E455" s="23" t="n"/>
      <c r="F455" s="22" t="n"/>
      <c r="G455" s="24" t="n"/>
      <c r="H455" s="25" t="n"/>
      <c r="I455" s="26">
        <f>IF(OR($G455="",$H455=""),"",$G455*$H455)</f>
        <v/>
      </c>
    </row>
    <row r="456">
      <c r="A456" s="21" t="n"/>
      <c r="B456" s="22" t="n"/>
      <c r="C456" s="23" t="n"/>
      <c r="D456" s="22" t="n"/>
      <c r="E456" s="23" t="n"/>
      <c r="F456" s="22" t="n"/>
      <c r="G456" s="24" t="n"/>
      <c r="H456" s="25" t="n"/>
      <c r="I456" s="26">
        <f>IF(OR($G456="",$H456=""),"",$G456*$H456)</f>
        <v/>
      </c>
    </row>
    <row r="457">
      <c r="A457" s="21" t="n"/>
      <c r="B457" s="22" t="n"/>
      <c r="C457" s="23" t="n"/>
      <c r="D457" s="22" t="n"/>
      <c r="E457" s="23" t="n"/>
      <c r="F457" s="22" t="n"/>
      <c r="G457" s="24" t="n"/>
      <c r="H457" s="25" t="n"/>
      <c r="I457" s="26">
        <f>IF(OR($G457="",$H457=""),"",$G457*$H457)</f>
        <v/>
      </c>
    </row>
    <row r="458">
      <c r="A458" s="21" t="n"/>
      <c r="B458" s="22" t="n"/>
      <c r="C458" s="23" t="n"/>
      <c r="D458" s="22" t="n"/>
      <c r="E458" s="23" t="n"/>
      <c r="F458" s="22" t="n"/>
      <c r="G458" s="24" t="n"/>
      <c r="H458" s="25" t="n"/>
      <c r="I458" s="26">
        <f>IF(OR($G458="",$H458=""),"",$G458*$H458)</f>
        <v/>
      </c>
    </row>
    <row r="459">
      <c r="A459" s="21" t="n"/>
      <c r="B459" s="22" t="n"/>
      <c r="C459" s="23" t="n"/>
      <c r="D459" s="22" t="n"/>
      <c r="E459" s="23" t="n"/>
      <c r="F459" s="22" t="n"/>
      <c r="G459" s="24" t="n"/>
      <c r="H459" s="25" t="n"/>
      <c r="I459" s="26">
        <f>IF(OR($G459="",$H459=""),"",$G459*$H459)</f>
        <v/>
      </c>
    </row>
    <row r="460">
      <c r="A460" s="21" t="n"/>
      <c r="B460" s="22" t="n"/>
      <c r="C460" s="23" t="n"/>
      <c r="D460" s="22" t="n"/>
      <c r="E460" s="23" t="n"/>
      <c r="F460" s="22" t="n"/>
      <c r="G460" s="24" t="n"/>
      <c r="H460" s="25" t="n"/>
      <c r="I460" s="26">
        <f>IF(OR($G460="",$H460=""),"",$G460*$H460)</f>
        <v/>
      </c>
    </row>
    <row r="461">
      <c r="A461" s="21" t="n"/>
      <c r="B461" s="22" t="n"/>
      <c r="C461" s="23" t="n"/>
      <c r="D461" s="22" t="n"/>
      <c r="E461" s="23" t="n"/>
      <c r="F461" s="22" t="n"/>
      <c r="G461" s="24" t="n"/>
      <c r="H461" s="25" t="n"/>
      <c r="I461" s="26">
        <f>IF(OR($G461="",$H461=""),"",$G461*$H461)</f>
        <v/>
      </c>
    </row>
    <row r="462">
      <c r="A462" s="21" t="n"/>
      <c r="B462" s="22" t="n"/>
      <c r="C462" s="23" t="n"/>
      <c r="D462" s="22" t="n"/>
      <c r="E462" s="23" t="n"/>
      <c r="F462" s="22" t="n"/>
      <c r="G462" s="24" t="n"/>
      <c r="H462" s="25" t="n"/>
      <c r="I462" s="26">
        <f>IF(OR($G462="",$H462=""),"",$G462*$H462)</f>
        <v/>
      </c>
    </row>
    <row r="463">
      <c r="A463" s="21" t="n"/>
      <c r="B463" s="22" t="n"/>
      <c r="C463" s="23" t="n"/>
      <c r="D463" s="22" t="n"/>
      <c r="E463" s="23" t="n"/>
      <c r="F463" s="22" t="n"/>
      <c r="G463" s="24" t="n"/>
      <c r="H463" s="25" t="n"/>
      <c r="I463" s="26">
        <f>IF(OR($G463="",$H463=""),"",$G463*$H463)</f>
        <v/>
      </c>
    </row>
    <row r="464">
      <c r="A464" s="21" t="n"/>
      <c r="B464" s="22" t="n"/>
      <c r="C464" s="23" t="n"/>
      <c r="D464" s="22" t="n"/>
      <c r="E464" s="23" t="n"/>
      <c r="F464" s="22" t="n"/>
      <c r="G464" s="24" t="n"/>
      <c r="H464" s="25" t="n"/>
      <c r="I464" s="26">
        <f>IF(OR($G464="",$H464=""),"",$G464*$H464)</f>
        <v/>
      </c>
    </row>
    <row r="465">
      <c r="A465" s="21" t="n"/>
      <c r="B465" s="22" t="n"/>
      <c r="C465" s="23" t="n"/>
      <c r="D465" s="22" t="n"/>
      <c r="E465" s="23" t="n"/>
      <c r="F465" s="22" t="n"/>
      <c r="G465" s="24" t="n"/>
      <c r="H465" s="25" t="n"/>
      <c r="I465" s="26">
        <f>IF(OR($G465="",$H465=""),"",$G465*$H465)</f>
        <v/>
      </c>
    </row>
    <row r="466">
      <c r="A466" s="21" t="n"/>
      <c r="B466" s="22" t="n"/>
      <c r="C466" s="23" t="n"/>
      <c r="D466" s="22" t="n"/>
      <c r="E466" s="23" t="n"/>
      <c r="F466" s="22" t="n"/>
      <c r="G466" s="24" t="n"/>
      <c r="H466" s="25" t="n"/>
      <c r="I466" s="26">
        <f>IF(OR($G466="",$H466=""),"",$G466*$H466)</f>
        <v/>
      </c>
    </row>
    <row r="467">
      <c r="A467" s="21" t="n"/>
      <c r="B467" s="22" t="n"/>
      <c r="C467" s="23" t="n"/>
      <c r="D467" s="22" t="n"/>
      <c r="E467" s="23" t="n"/>
      <c r="F467" s="22" t="n"/>
      <c r="G467" s="24" t="n"/>
      <c r="H467" s="25" t="n"/>
      <c r="I467" s="26">
        <f>IF(OR($G467="",$H467=""),"",$G467*$H467)</f>
        <v/>
      </c>
    </row>
    <row r="468">
      <c r="A468" s="21" t="n"/>
      <c r="B468" s="22" t="n"/>
      <c r="C468" s="23" t="n"/>
      <c r="D468" s="22" t="n"/>
      <c r="E468" s="23" t="n"/>
      <c r="F468" s="22" t="n"/>
      <c r="G468" s="24" t="n"/>
      <c r="H468" s="25" t="n"/>
      <c r="I468" s="26">
        <f>IF(OR($G468="",$H468=""),"",$G468*$H468)</f>
        <v/>
      </c>
    </row>
    <row r="469">
      <c r="A469" s="21" t="n"/>
      <c r="B469" s="22" t="n"/>
      <c r="C469" s="23" t="n"/>
      <c r="D469" s="22" t="n"/>
      <c r="E469" s="23" t="n"/>
      <c r="F469" s="22" t="n"/>
      <c r="G469" s="24" t="n"/>
      <c r="H469" s="25" t="n"/>
      <c r="I469" s="26">
        <f>IF(OR($G469="",$H469=""),"",$G469*$H469)</f>
        <v/>
      </c>
    </row>
    <row r="470">
      <c r="A470" s="21" t="n"/>
      <c r="B470" s="22" t="n"/>
      <c r="C470" s="23" t="n"/>
      <c r="D470" s="22" t="n"/>
      <c r="E470" s="23" t="n"/>
      <c r="F470" s="22" t="n"/>
      <c r="G470" s="24" t="n"/>
      <c r="H470" s="25" t="n"/>
      <c r="I470" s="26">
        <f>IF(OR($G470="",$H470=""),"",$G470*$H470)</f>
        <v/>
      </c>
    </row>
    <row r="471">
      <c r="A471" s="21" t="n"/>
      <c r="B471" s="22" t="n"/>
      <c r="C471" s="23" t="n"/>
      <c r="D471" s="22" t="n"/>
      <c r="E471" s="23" t="n"/>
      <c r="F471" s="22" t="n"/>
      <c r="G471" s="24" t="n"/>
      <c r="H471" s="25" t="n"/>
      <c r="I471" s="26">
        <f>IF(OR($G471="",$H471=""),"",$G471*$H471)</f>
        <v/>
      </c>
    </row>
    <row r="472">
      <c r="A472" s="21" t="n"/>
      <c r="B472" s="22" t="n"/>
      <c r="C472" s="23" t="n"/>
      <c r="D472" s="22" t="n"/>
      <c r="E472" s="23" t="n"/>
      <c r="F472" s="22" t="n"/>
      <c r="G472" s="24" t="n"/>
      <c r="H472" s="25" t="n"/>
      <c r="I472" s="26">
        <f>IF(OR($G472="",$H472=""),"",$G472*$H472)</f>
        <v/>
      </c>
    </row>
    <row r="473">
      <c r="A473" s="21" t="n"/>
      <c r="B473" s="22" t="n"/>
      <c r="C473" s="23" t="n"/>
      <c r="D473" s="22" t="n"/>
      <c r="E473" s="23" t="n"/>
      <c r="F473" s="22" t="n"/>
      <c r="G473" s="24" t="n"/>
      <c r="H473" s="25" t="n"/>
      <c r="I473" s="26">
        <f>IF(OR($G473="",$H473=""),"",$G473*$H473)</f>
        <v/>
      </c>
    </row>
    <row r="474">
      <c r="A474" s="21" t="n"/>
      <c r="B474" s="22" t="n"/>
      <c r="C474" s="23" t="n"/>
      <c r="D474" s="22" t="n"/>
      <c r="E474" s="23" t="n"/>
      <c r="F474" s="22" t="n"/>
      <c r="G474" s="24" t="n"/>
      <c r="H474" s="25" t="n"/>
      <c r="I474" s="26">
        <f>IF(OR($G474="",$H474=""),"",$G474*$H474)</f>
        <v/>
      </c>
    </row>
    <row r="475">
      <c r="A475" s="21" t="n"/>
      <c r="B475" s="22" t="n"/>
      <c r="C475" s="23" t="n"/>
      <c r="D475" s="22" t="n"/>
      <c r="E475" s="23" t="n"/>
      <c r="F475" s="22" t="n"/>
      <c r="G475" s="24" t="n"/>
      <c r="H475" s="25" t="n"/>
      <c r="I475" s="26">
        <f>IF(OR($G475="",$H475=""),"",$G475*$H475)</f>
        <v/>
      </c>
    </row>
    <row r="476">
      <c r="A476" s="21" t="n"/>
      <c r="B476" s="22" t="n"/>
      <c r="C476" s="23" t="n"/>
      <c r="D476" s="22" t="n"/>
      <c r="E476" s="23" t="n"/>
      <c r="F476" s="22" t="n"/>
      <c r="G476" s="24" t="n"/>
      <c r="H476" s="25" t="n"/>
      <c r="I476" s="26">
        <f>IF(OR($G476="",$H476=""),"",$G476*$H476)</f>
        <v/>
      </c>
    </row>
    <row r="477">
      <c r="A477" s="21" t="n"/>
      <c r="B477" s="22" t="n"/>
      <c r="C477" s="23" t="n"/>
      <c r="D477" s="22" t="n"/>
      <c r="E477" s="23" t="n"/>
      <c r="F477" s="22" t="n"/>
      <c r="G477" s="24" t="n"/>
      <c r="H477" s="25" t="n"/>
      <c r="I477" s="26">
        <f>IF(OR($G477="",$H477=""),"",$G477*$H477)</f>
        <v/>
      </c>
    </row>
    <row r="478">
      <c r="A478" s="21" t="n"/>
      <c r="B478" s="22" t="n"/>
      <c r="C478" s="23" t="n"/>
      <c r="D478" s="22" t="n"/>
      <c r="E478" s="23" t="n"/>
      <c r="F478" s="22" t="n"/>
      <c r="G478" s="24" t="n"/>
      <c r="H478" s="25" t="n"/>
      <c r="I478" s="26">
        <f>IF(OR($G478="",$H478=""),"",$G478*$H478)</f>
        <v/>
      </c>
    </row>
    <row r="479">
      <c r="A479" s="21" t="n"/>
      <c r="B479" s="22" t="n"/>
      <c r="C479" s="23" t="n"/>
      <c r="D479" s="22" t="n"/>
      <c r="E479" s="23" t="n"/>
      <c r="F479" s="22" t="n"/>
      <c r="G479" s="24" t="n"/>
      <c r="H479" s="25" t="n"/>
      <c r="I479" s="26">
        <f>IF(OR($G479="",$H479=""),"",$G479*$H479)</f>
        <v/>
      </c>
    </row>
    <row r="480">
      <c r="A480" s="21" t="n"/>
      <c r="B480" s="22" t="n"/>
      <c r="C480" s="23" t="n"/>
      <c r="D480" s="22" t="n"/>
      <c r="E480" s="23" t="n"/>
      <c r="F480" s="22" t="n"/>
      <c r="G480" s="24" t="n"/>
      <c r="H480" s="25" t="n"/>
      <c r="I480" s="26">
        <f>IF(OR($G480="",$H480=""),"",$G480*$H480)</f>
        <v/>
      </c>
    </row>
    <row r="481">
      <c r="A481" s="21" t="n"/>
      <c r="B481" s="22" t="n"/>
      <c r="C481" s="23" t="n"/>
      <c r="D481" s="22" t="n"/>
      <c r="E481" s="23" t="n"/>
      <c r="F481" s="22" t="n"/>
      <c r="G481" s="24" t="n"/>
      <c r="H481" s="25" t="n"/>
      <c r="I481" s="26">
        <f>IF(OR($G481="",$H481=""),"",$G481*$H481)</f>
        <v/>
      </c>
    </row>
    <row r="482">
      <c r="A482" s="21" t="n"/>
      <c r="B482" s="22" t="n"/>
      <c r="C482" s="23" t="n"/>
      <c r="D482" s="22" t="n"/>
      <c r="E482" s="23" t="n"/>
      <c r="F482" s="22" t="n"/>
      <c r="G482" s="24" t="n"/>
      <c r="H482" s="25" t="n"/>
      <c r="I482" s="26">
        <f>IF(OR($G482="",$H482=""),"",$G482*$H482)</f>
        <v/>
      </c>
    </row>
    <row r="483">
      <c r="A483" s="21" t="n"/>
      <c r="B483" s="22" t="n"/>
      <c r="C483" s="23" t="n"/>
      <c r="D483" s="22" t="n"/>
      <c r="E483" s="23" t="n"/>
      <c r="F483" s="22" t="n"/>
      <c r="G483" s="24" t="n"/>
      <c r="H483" s="25" t="n"/>
      <c r="I483" s="26">
        <f>IF(OR($G483="",$H483=""),"",$G483*$H483)</f>
        <v/>
      </c>
    </row>
    <row r="484">
      <c r="A484" s="21" t="n"/>
      <c r="B484" s="22" t="n"/>
      <c r="C484" s="23" t="n"/>
      <c r="D484" s="22" t="n"/>
      <c r="E484" s="23" t="n"/>
      <c r="F484" s="22" t="n"/>
      <c r="G484" s="24" t="n"/>
      <c r="H484" s="25" t="n"/>
      <c r="I484" s="26">
        <f>IF(OR($G484="",$H484=""),"",$G484*$H484)</f>
        <v/>
      </c>
    </row>
    <row r="485">
      <c r="A485" s="21" t="n"/>
      <c r="B485" s="22" t="n"/>
      <c r="C485" s="23" t="n"/>
      <c r="D485" s="22" t="n"/>
      <c r="E485" s="23" t="n"/>
      <c r="F485" s="22" t="n"/>
      <c r="G485" s="24" t="n"/>
      <c r="H485" s="25" t="n"/>
      <c r="I485" s="26">
        <f>IF(OR($G485="",$H485=""),"",$G485*$H485)</f>
        <v/>
      </c>
    </row>
    <row r="486">
      <c r="A486" s="21" t="n"/>
      <c r="B486" s="22" t="n"/>
      <c r="C486" s="23" t="n"/>
      <c r="D486" s="22" t="n"/>
      <c r="E486" s="23" t="n"/>
      <c r="F486" s="22" t="n"/>
      <c r="G486" s="24" t="n"/>
      <c r="H486" s="25" t="n"/>
      <c r="I486" s="26">
        <f>IF(OR($G486="",$H486=""),"",$G486*$H486)</f>
        <v/>
      </c>
    </row>
    <row r="487">
      <c r="A487" s="21" t="n"/>
      <c r="B487" s="22" t="n"/>
      <c r="C487" s="23" t="n"/>
      <c r="D487" s="22" t="n"/>
      <c r="E487" s="23" t="n"/>
      <c r="F487" s="22" t="n"/>
      <c r="G487" s="24" t="n"/>
      <c r="H487" s="25" t="n"/>
      <c r="I487" s="26">
        <f>IF(OR($G487="",$H487=""),"",$G487*$H487)</f>
        <v/>
      </c>
    </row>
    <row r="488">
      <c r="A488" s="21" t="n"/>
      <c r="B488" s="22" t="n"/>
      <c r="C488" s="23" t="n"/>
      <c r="D488" s="22" t="n"/>
      <c r="E488" s="23" t="n"/>
      <c r="F488" s="22" t="n"/>
      <c r="G488" s="24" t="n"/>
      <c r="H488" s="25" t="n"/>
      <c r="I488" s="26">
        <f>IF(OR($G488="",$H488=""),"",$G488*$H488)</f>
        <v/>
      </c>
    </row>
    <row r="489">
      <c r="A489" s="21" t="n"/>
      <c r="B489" s="22" t="n"/>
      <c r="C489" s="23" t="n"/>
      <c r="D489" s="22" t="n"/>
      <c r="E489" s="23" t="n"/>
      <c r="F489" s="22" t="n"/>
      <c r="G489" s="24" t="n"/>
      <c r="H489" s="25" t="n"/>
      <c r="I489" s="26">
        <f>IF(OR($G489="",$H489=""),"",$G489*$H489)</f>
        <v/>
      </c>
    </row>
    <row r="490">
      <c r="A490" s="21" t="n"/>
      <c r="B490" s="22" t="n"/>
      <c r="C490" s="23" t="n"/>
      <c r="D490" s="22" t="n"/>
      <c r="E490" s="23" t="n"/>
      <c r="F490" s="22" t="n"/>
      <c r="G490" s="24" t="n"/>
      <c r="H490" s="25" t="n"/>
      <c r="I490" s="26">
        <f>IF(OR($G490="",$H490=""),"",$G490*$H490)</f>
        <v/>
      </c>
    </row>
    <row r="491">
      <c r="A491" s="21" t="n"/>
      <c r="B491" s="22" t="n"/>
      <c r="C491" s="23" t="n"/>
      <c r="D491" s="22" t="n"/>
      <c r="E491" s="23" t="n"/>
      <c r="F491" s="22" t="n"/>
      <c r="G491" s="24" t="n"/>
      <c r="H491" s="25" t="n"/>
      <c r="I491" s="26">
        <f>IF(OR($G491="",$H491=""),"",$G491*$H491)</f>
        <v/>
      </c>
    </row>
    <row r="492">
      <c r="A492" s="21" t="n"/>
      <c r="B492" s="22" t="n"/>
      <c r="C492" s="23" t="n"/>
      <c r="D492" s="22" t="n"/>
      <c r="E492" s="23" t="n"/>
      <c r="F492" s="22" t="n"/>
      <c r="G492" s="24" t="n"/>
      <c r="H492" s="25" t="n"/>
      <c r="I492" s="26">
        <f>IF(OR($G492="",$H492=""),"",$G492*$H492)</f>
        <v/>
      </c>
    </row>
    <row r="493">
      <c r="A493" s="21" t="n"/>
      <c r="B493" s="22" t="n"/>
      <c r="C493" s="23" t="n"/>
      <c r="D493" s="22" t="n"/>
      <c r="E493" s="23" t="n"/>
      <c r="F493" s="22" t="n"/>
      <c r="G493" s="24" t="n"/>
      <c r="H493" s="25" t="n"/>
      <c r="I493" s="26">
        <f>IF(OR($G493="",$H493=""),"",$G493*$H493)</f>
        <v/>
      </c>
    </row>
    <row r="494">
      <c r="A494" s="21" t="n"/>
      <c r="B494" s="22" t="n"/>
      <c r="C494" s="23" t="n"/>
      <c r="D494" s="22" t="n"/>
      <c r="E494" s="23" t="n"/>
      <c r="F494" s="22" t="n"/>
      <c r="G494" s="24" t="n"/>
      <c r="H494" s="25" t="n"/>
      <c r="I494" s="26">
        <f>IF(OR($G494="",$H494=""),"",$G494*$H494)</f>
        <v/>
      </c>
    </row>
    <row r="495">
      <c r="A495" s="21" t="n"/>
      <c r="B495" s="22" t="n"/>
      <c r="C495" s="23" t="n"/>
      <c r="D495" s="22" t="n"/>
      <c r="E495" s="23" t="n"/>
      <c r="F495" s="22" t="n"/>
      <c r="G495" s="24" t="n"/>
      <c r="H495" s="25" t="n"/>
      <c r="I495" s="26">
        <f>IF(OR($G495="",$H495=""),"",$G495*$H495)</f>
        <v/>
      </c>
    </row>
    <row r="496">
      <c r="A496" s="21" t="n"/>
      <c r="B496" s="22" t="n"/>
      <c r="C496" s="23" t="n"/>
      <c r="D496" s="22" t="n"/>
      <c r="E496" s="23" t="n"/>
      <c r="F496" s="22" t="n"/>
      <c r="G496" s="24" t="n"/>
      <c r="H496" s="25" t="n"/>
      <c r="I496" s="26">
        <f>IF(OR($G496="",$H496=""),"",$G496*$H496)</f>
        <v/>
      </c>
    </row>
    <row r="497">
      <c r="A497" s="21" t="n"/>
      <c r="B497" s="22" t="n"/>
      <c r="C497" s="23" t="n"/>
      <c r="D497" s="22" t="n"/>
      <c r="E497" s="23" t="n"/>
      <c r="F497" s="22" t="n"/>
      <c r="G497" s="24" t="n"/>
      <c r="H497" s="25" t="n"/>
      <c r="I497" s="26">
        <f>IF(OR($G497="",$H497=""),"",$G497*$H497)</f>
        <v/>
      </c>
    </row>
    <row r="498">
      <c r="A498" s="21" t="n"/>
      <c r="B498" s="22" t="n"/>
      <c r="C498" s="23" t="n"/>
      <c r="D498" s="22" t="n"/>
      <c r="E498" s="23" t="n"/>
      <c r="F498" s="22" t="n"/>
      <c r="G498" s="24" t="n"/>
      <c r="H498" s="25" t="n"/>
      <c r="I498" s="26">
        <f>IF(OR($G498="",$H498=""),"",$G498*$H498)</f>
        <v/>
      </c>
    </row>
    <row r="499">
      <c r="A499" s="21" t="n"/>
      <c r="B499" s="22" t="n"/>
      <c r="C499" s="23" t="n"/>
      <c r="D499" s="22" t="n"/>
      <c r="E499" s="23" t="n"/>
      <c r="F499" s="22" t="n"/>
      <c r="G499" s="24" t="n"/>
      <c r="H499" s="25" t="n"/>
      <c r="I499" s="26">
        <f>IF(OR($G499="",$H499=""),"",$G499*$H499)</f>
        <v/>
      </c>
    </row>
    <row r="500">
      <c r="A500" s="21" t="n"/>
      <c r="B500" s="22" t="n"/>
      <c r="C500" s="23" t="n"/>
      <c r="D500" s="22" t="n"/>
      <c r="E500" s="23" t="n"/>
      <c r="F500" s="22" t="n"/>
      <c r="G500" s="24" t="n"/>
      <c r="H500" s="25" t="n"/>
      <c r="I500" s="26">
        <f>IF(OR($G500="",$H500=""),"",$G500*$H500)</f>
        <v/>
      </c>
    </row>
    <row r="501">
      <c r="A501" s="21" t="n"/>
      <c r="B501" s="22" t="n"/>
      <c r="C501" s="23" t="n"/>
      <c r="D501" s="22" t="n"/>
      <c r="E501" s="23" t="n"/>
      <c r="F501" s="22" t="n"/>
      <c r="G501" s="24" t="n"/>
      <c r="H501" s="25" t="n"/>
      <c r="I501" s="26">
        <f>IF(OR($G501="",$H501=""),"",$G501*$H501)</f>
        <v/>
      </c>
    </row>
    <row r="502">
      <c r="A502" s="21" t="n"/>
      <c r="B502" s="22" t="n"/>
      <c r="C502" s="23" t="n"/>
      <c r="D502" s="22" t="n"/>
      <c r="E502" s="23" t="n"/>
      <c r="F502" s="22" t="n"/>
      <c r="G502" s="24" t="n"/>
      <c r="H502" s="25" t="n"/>
      <c r="I502" s="26">
        <f>IF(OR($G502="",$H502=""),"",$G502*$H502)</f>
        <v/>
      </c>
    </row>
    <row r="503">
      <c r="A503" s="21" t="n"/>
      <c r="B503" s="22" t="n"/>
      <c r="C503" s="23" t="n"/>
      <c r="D503" s="22" t="n"/>
      <c r="E503" s="23" t="n"/>
      <c r="F503" s="22" t="n"/>
      <c r="G503" s="24" t="n"/>
      <c r="H503" s="25" t="n"/>
      <c r="I503" s="26">
        <f>IF(OR($G503="",$H503=""),"",$G503*$H503)</f>
        <v/>
      </c>
    </row>
    <row r="504">
      <c r="A504" s="21" t="n"/>
      <c r="B504" s="22" t="n"/>
      <c r="C504" s="23" t="n"/>
      <c r="D504" s="22" t="n"/>
      <c r="E504" s="23" t="n"/>
      <c r="F504" s="22" t="n"/>
      <c r="G504" s="24" t="n"/>
      <c r="H504" s="25" t="n"/>
      <c r="I504" s="26">
        <f>IF(OR($G504="",$H504=""),"",$G504*$H504)</f>
        <v/>
      </c>
    </row>
    <row r="505">
      <c r="A505" s="21" t="n"/>
      <c r="B505" s="22" t="n"/>
      <c r="C505" s="23" t="n"/>
      <c r="D505" s="22" t="n"/>
      <c r="E505" s="23" t="n"/>
      <c r="F505" s="22" t="n"/>
      <c r="G505" s="24" t="n"/>
      <c r="H505" s="25" t="n"/>
      <c r="I505" s="26">
        <f>IF(OR($G505="",$H505=""),"",$G505*$H505)</f>
        <v/>
      </c>
    </row>
    <row r="506">
      <c r="A506" s="21" t="n"/>
      <c r="B506" s="22" t="n"/>
      <c r="C506" s="23" t="n"/>
      <c r="D506" s="22" t="n"/>
      <c r="E506" s="23" t="n"/>
      <c r="F506" s="22" t="n"/>
      <c r="G506" s="24" t="n"/>
      <c r="H506" s="25" t="n"/>
      <c r="I506" s="26">
        <f>IF(OR($G506="",$H506=""),"",$G506*$H506)</f>
        <v/>
      </c>
    </row>
    <row r="507">
      <c r="A507" s="21" t="n"/>
      <c r="B507" s="22" t="n"/>
      <c r="C507" s="23" t="n"/>
      <c r="D507" s="22" t="n"/>
      <c r="E507" s="23" t="n"/>
      <c r="F507" s="22" t="n"/>
      <c r="G507" s="24" t="n"/>
      <c r="H507" s="25" t="n"/>
      <c r="I507" s="26">
        <f>IF(OR($G507="",$H507=""),"",$G507*$H507)</f>
        <v/>
      </c>
    </row>
    <row r="508">
      <c r="A508" s="21" t="n"/>
      <c r="B508" s="22" t="n"/>
      <c r="C508" s="23" t="n"/>
      <c r="D508" s="22" t="n"/>
      <c r="E508" s="23" t="n"/>
      <c r="F508" s="22" t="n"/>
      <c r="G508" s="24" t="n"/>
      <c r="H508" s="25" t="n"/>
      <c r="I508" s="26">
        <f>IF(OR($G508="",$H508=""),"",$G508*$H508)</f>
        <v/>
      </c>
    </row>
    <row r="509">
      <c r="A509" s="21" t="n"/>
      <c r="B509" s="22" t="n"/>
      <c r="C509" s="23" t="n"/>
      <c r="D509" s="22" t="n"/>
      <c r="E509" s="23" t="n"/>
      <c r="F509" s="22" t="n"/>
      <c r="G509" s="24" t="n"/>
      <c r="H509" s="25" t="n"/>
      <c r="I509" s="26">
        <f>IF(OR($G509="",$H509=""),"",$G509*$H509)</f>
        <v/>
      </c>
    </row>
    <row r="510">
      <c r="A510" s="21" t="n"/>
      <c r="B510" s="22" t="n"/>
      <c r="C510" s="23" t="n"/>
      <c r="D510" s="22" t="n"/>
      <c r="E510" s="23" t="n"/>
      <c r="F510" s="22" t="n"/>
      <c r="G510" s="24" t="n"/>
      <c r="H510" s="25" t="n"/>
      <c r="I510" s="26">
        <f>IF(OR($G510="",$H510=""),"",$G510*$H510)</f>
        <v/>
      </c>
    </row>
  </sheetData>
  <autoFilter ref="A10:I510"/>
  <mergeCells count="12">
    <mergeCell ref="E6:F6"/>
    <mergeCell ref="C6:D6"/>
    <mergeCell ref="H6:I6"/>
    <mergeCell ref="A1:I4"/>
    <mergeCell ref="A7:B8"/>
    <mergeCell ref="C7:D8"/>
    <mergeCell ref="E7:F8"/>
    <mergeCell ref="H7:I8"/>
    <mergeCell ref="G7:G8"/>
    <mergeCell ref="A9:I9"/>
    <mergeCell ref="A6:B6"/>
    <mergeCell ref="G6"/>
  </mergeCells>
  <conditionalFormatting sqref="A11:I510">
    <cfRule type="expression" priority="1" dxfId="0" stopIfTrue="0">
      <formula>AND(MOD(ROW(),2)=0,$A11&lt;&gt;"")</formula>
    </cfRule>
    <cfRule type="expression" priority="2" dxfId="1" stopIfTrue="0">
      <formula>AND(MOD(ROW(),2)=1,$A11&lt;&gt;"")</formula>
    </cfRule>
  </conditionalFormatting>
  <dataValidations count="4">
    <dataValidation sqref="C11:C510" showDropDown="0" showInputMessage="1" showErrorMessage="1" allowBlank="1" errorTitle="Valor no permitido" error="Elige un proveedor de la lista maestra." promptTitle="Proveedor" prompt="Elige un proveedor de la lista maestra." type="list">
      <formula1>=Lista_Proveedores</formula1>
    </dataValidation>
    <dataValidation sqref="D11:D510" showDropDown="0" showInputMessage="1" showErrorMessage="1" allowBlank="1" errorTitle="Valor no permitido" error="El SKU debe existir en 2_Control_de_Stock." promptTitle="Código/SKU" prompt="El SKU debe existir en 2_Control_de_Stock." type="list">
      <formula1>=Lista_SKU</formula1>
    </dataValidation>
    <dataValidation sqref="F11:F510" showDropDown="0" showInputMessage="1" showErrorMessage="1" allowBlank="1" errorTitle="Valor no permitido" error="Elige una categoría DAMABIS." promptTitle="Categoría" prompt="Elige una categoría DAMABIS." type="list">
      <formula1>=Lista_Categorias</formula1>
    </dataValidation>
    <dataValidation sqref="G11:G510" showDropDown="0" showInputMessage="0" showErrorMessage="1" allowBlank="1" errorTitle="Cantidad inválida" error="Ingresa un número entero mayor a cero." type="whole" operator="greaterThan">
      <formula1>0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N21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8" customWidth="1" min="9" max="9"/>
    <col width="14" customWidth="1" min="10" max="10"/>
    <col width="13" customWidth="1" min="11" max="11"/>
    <col width="15" customWidth="1" min="12" max="12"/>
    <col width="15" customWidth="1" min="13" max="13"/>
    <col width="12" customWidth="1" min="14" max="14"/>
  </cols>
  <sheetData>
    <row r="1" ht="20" customHeight="1">
      <c r="A1" s="15" t="inlineStr">
        <is>
          <t xml:space="preserve">   DAMABIS · Control de Stock
   Maestro de productos · Cálculo automático de existencias y márgenes</t>
        </is>
      </c>
    </row>
    <row r="2" ht="22" customHeight="1"/>
    <row r="3" ht="22" customHeight="1"/>
    <row r="4" ht="20" customHeight="1"/>
    <row r="5" ht="6" customHeight="1"/>
    <row r="6" ht="18" customHeight="1">
      <c r="A6" s="16" t="inlineStr">
        <is>
          <t>🧮 SKUs ACTIVOS</t>
        </is>
      </c>
      <c r="B6" s="17" t="n"/>
      <c r="C6" s="16" t="inlineStr">
        <is>
          <t>🏦 VALOR INVENTARIO (COSTO)</t>
        </is>
      </c>
      <c r="D6" s="17" t="n"/>
      <c r="E6" s="16" t="inlineStr">
        <is>
          <t>💵 VALOR INVENTARIO (VENTA)</t>
        </is>
      </c>
      <c r="F6" s="17" t="n"/>
      <c r="G6" s="16" t="inlineStr">
        <is>
          <t>📈 MARGEN PROMEDIO</t>
        </is>
      </c>
      <c r="H6" s="17" t="n"/>
      <c r="I6" s="27" t="inlineStr">
        <is>
          <t>🔴 SKUs SIN STOCK</t>
        </is>
      </c>
      <c r="J6" s="17" t="n"/>
      <c r="K6" s="28" t="inlineStr">
        <is>
          <t>🟠 SKUs POR REPONER</t>
        </is>
      </c>
      <c r="L6" s="17" t="n"/>
      <c r="M6" s="16" t="inlineStr">
        <is>
          <t>📦 UNIDADES EN TIENDA</t>
        </is>
      </c>
      <c r="N6" s="17" t="n"/>
    </row>
    <row r="7" ht="14" customHeight="1">
      <c r="A7" s="19">
        <f>COUNTIF(A11:A210,"?*")</f>
        <v/>
      </c>
      <c r="B7" s="17" t="n"/>
      <c r="C7" s="18">
        <f>SUM(L11:L210)</f>
        <v/>
      </c>
      <c r="D7" s="17" t="n"/>
      <c r="E7" s="18">
        <f>SUM(M11:M210)</f>
        <v/>
      </c>
      <c r="F7" s="17" t="n"/>
      <c r="G7" s="29">
        <f>IFERROR((SUM(M11:M210)-SUM(L11:L210))/SUM(M11:M210),0)</f>
        <v/>
      </c>
      <c r="H7" s="17" t="n"/>
      <c r="I7" s="19">
        <f>COUNTIF(I11:I210,"*SIN STOCK*")</f>
        <v/>
      </c>
      <c r="J7" s="17" t="n"/>
      <c r="K7" s="19">
        <f>COUNTIF(I11:I210,"*REPONER*")</f>
        <v/>
      </c>
      <c r="L7" s="17" t="n"/>
      <c r="M7" s="19">
        <f>SUM(G11:G210)</f>
        <v/>
      </c>
      <c r="N7" s="17" t="n"/>
    </row>
    <row r="8" ht="16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 ht="16" customHeight="1">
      <c r="A9" s="20" t="inlineStr">
        <is>
          <t xml:space="preserve">   ✏️ Captura manual (azul): SKU · Descripción · Categoría · Stock Inicial · Stock Mínimo · Precio de Venta.   ⚙️ El resto se calcula solo desde las hojas 1 y 3.</t>
        </is>
      </c>
    </row>
    <row r="10" ht="34" customHeight="1">
      <c r="A10" s="4" t="inlineStr">
        <is>
          <t>Código/SKU</t>
        </is>
      </c>
      <c r="B10" s="4" t="inlineStr">
        <is>
          <t>Descripción</t>
        </is>
      </c>
      <c r="C10" s="4" t="inlineStr">
        <is>
          <t>Categoría</t>
        </is>
      </c>
      <c r="D10" s="4" t="inlineStr">
        <is>
          <t>Stock Inicial</t>
        </is>
      </c>
      <c r="E10" s="4" t="inlineStr">
        <is>
          <t>Entradas Totales</t>
        </is>
      </c>
      <c r="F10" s="4" t="inlineStr">
        <is>
          <t>Salidas Totales</t>
        </is>
      </c>
      <c r="G10" s="4" t="inlineStr">
        <is>
          <t>Stock Actual</t>
        </is>
      </c>
      <c r="H10" s="4" t="inlineStr">
        <is>
          <t>Stock Mínimo</t>
        </is>
      </c>
      <c r="I10" s="4" t="inlineStr">
        <is>
          <t>Alerta de Estado</t>
        </is>
      </c>
      <c r="J10" s="4" t="inlineStr">
        <is>
          <t>Costo Promedio Unit.</t>
        </is>
      </c>
      <c r="K10" s="4" t="inlineStr">
        <is>
          <t>Precio de Venta</t>
        </is>
      </c>
      <c r="L10" s="4" t="inlineStr">
        <is>
          <t>Valor Total a Costo</t>
        </is>
      </c>
      <c r="M10" s="4" t="inlineStr">
        <is>
          <t>Valor Total a Venta</t>
        </is>
      </c>
      <c r="N10" s="4" t="inlineStr">
        <is>
          <t>% Margen Bruto</t>
        </is>
      </c>
    </row>
    <row r="11">
      <c r="A11" s="22" t="inlineStr">
        <is>
          <t>PAP-001</t>
        </is>
      </c>
      <c r="B11" s="23" t="inlineStr">
        <is>
          <t>Papel Bond A4 75g (millar)</t>
        </is>
      </c>
      <c r="C11" s="22" t="inlineStr">
        <is>
          <t>Papelería</t>
        </is>
      </c>
      <c r="D11" s="24" t="n">
        <v>5</v>
      </c>
      <c r="E11" s="30">
        <f>IF($A11="","",SUMIFS('1_Compras_e_Inventario_Inicial'!$G$11:$G$510,'1_Compras_e_Inventario_Inicial'!$D$11:$D$510,$A11))</f>
        <v/>
      </c>
      <c r="F11" s="30">
        <f>IF($A11="","",SUMIFS('3_Ventas_Diarias'!$E$11:$E$610,'3_Ventas_Diarias'!$C$11:$C$610,$A11))</f>
        <v/>
      </c>
      <c r="G11" s="31">
        <f>IF($A11="","",N($D11)+N($E11)-N($F11))</f>
        <v/>
      </c>
      <c r="H11" s="24" t="n">
        <v>4</v>
      </c>
      <c r="I11" s="32">
        <f>IF($A11="","",IF($G11&lt;=0,"🔴 SIN STOCK",IF($G11&lt;=$H11,"🟠 REPONER",IF($G11&lt;=$H11*1.5,"🟡 VIGILAR","🟢 OK"))))</f>
        <v/>
      </c>
      <c r="J11" s="33">
        <f>IF($A11="","",IFERROR(SUMIFS('1_Compras_e_Inventario_Inicial'!$I$11:$I$510,'1_Compras_e_Inventario_Inicial'!$D$11:$D$510,$A11)/SUMIFS('1_Compras_e_Inventario_Inicial'!$G$11:$G$510,'1_Compras_e_Inventario_Inicial'!$D$11:$D$510,$A11),0))</f>
        <v/>
      </c>
      <c r="K11" s="25" t="n">
        <v>19.9</v>
      </c>
      <c r="L11" s="33">
        <f>IF($A11="","",$G11*$J11)</f>
        <v/>
      </c>
      <c r="M11" s="33">
        <f>IF($A11="","",$G11*$K11)</f>
        <v/>
      </c>
      <c r="N11" s="34">
        <f>IF($A11="","",IFERROR(($K11-$J11)/$K11,0))</f>
        <v/>
      </c>
    </row>
    <row r="12">
      <c r="A12" s="22" t="inlineStr">
        <is>
          <t>PAP-002</t>
        </is>
      </c>
      <c r="B12" s="23" t="inlineStr">
        <is>
          <t>Cartulina de colores (pliego)</t>
        </is>
      </c>
      <c r="C12" s="22" t="inlineStr">
        <is>
          <t>Papelería</t>
        </is>
      </c>
      <c r="D12" s="24" t="n">
        <v>50</v>
      </c>
      <c r="E12" s="30">
        <f>IF($A12="","",SUMIFS('1_Compras_e_Inventario_Inicial'!$G$11:$G$510,'1_Compras_e_Inventario_Inicial'!$D$11:$D$510,$A12))</f>
        <v/>
      </c>
      <c r="F12" s="30">
        <f>IF($A12="","",SUMIFS('3_Ventas_Diarias'!$E$11:$E$610,'3_Ventas_Diarias'!$C$11:$C$610,$A12))</f>
        <v/>
      </c>
      <c r="G12" s="31">
        <f>IF($A12="","",N($D12)+N($E12)-N($F12))</f>
        <v/>
      </c>
      <c r="H12" s="24" t="n">
        <v>60</v>
      </c>
      <c r="I12" s="32">
        <f>IF($A12="","",IF($G12&lt;=0,"🔴 SIN STOCK",IF($G12&lt;=$H12,"🟠 REPONER",IF($G12&lt;=$H12*1.5,"🟡 VIGILAR","🟢 OK"))))</f>
        <v/>
      </c>
      <c r="J12" s="33">
        <f>IF($A12="","",IFERROR(SUMIFS('1_Compras_e_Inventario_Inicial'!$I$11:$I$510,'1_Compras_e_Inventario_Inicial'!$D$11:$D$510,$A12)/SUMIFS('1_Compras_e_Inventario_Inicial'!$G$11:$G$510,'1_Compras_e_Inventario_Inicial'!$D$11:$D$510,$A12),0))</f>
        <v/>
      </c>
      <c r="K12" s="25" t="n">
        <v>1.5</v>
      </c>
      <c r="L12" s="33">
        <f>IF($A12="","",$G12*$J12)</f>
        <v/>
      </c>
      <c r="M12" s="33">
        <f>IF($A12="","",$G12*$K12)</f>
        <v/>
      </c>
      <c r="N12" s="34">
        <f>IF($A12="","",IFERROR(($K12-$J12)/$K12,0))</f>
        <v/>
      </c>
    </row>
    <row r="13">
      <c r="A13" s="22" t="inlineStr">
        <is>
          <t>CUA-010</t>
        </is>
      </c>
      <c r="B13" s="23" t="inlineStr">
        <is>
          <t>Cuaderno A4 cuadriculado 100h</t>
        </is>
      </c>
      <c r="C13" s="22" t="inlineStr">
        <is>
          <t>Cuadernos</t>
        </is>
      </c>
      <c r="D13" s="24" t="n">
        <v>20</v>
      </c>
      <c r="E13" s="30">
        <f>IF($A13="","",SUMIFS('1_Compras_e_Inventario_Inicial'!$G$11:$G$510,'1_Compras_e_Inventario_Inicial'!$D$11:$D$510,$A13))</f>
        <v/>
      </c>
      <c r="F13" s="30">
        <f>IF($A13="","",SUMIFS('3_Ventas_Diarias'!$E$11:$E$610,'3_Ventas_Diarias'!$C$11:$C$610,$A13))</f>
        <v/>
      </c>
      <c r="G13" s="31">
        <f>IF($A13="","",N($D13)+N($E13)-N($F13))</f>
        <v/>
      </c>
      <c r="H13" s="24" t="n">
        <v>30</v>
      </c>
      <c r="I13" s="32">
        <f>IF($A13="","",IF($G13&lt;=0,"🔴 SIN STOCK",IF($G13&lt;=$H13,"🟠 REPONER",IF($G13&lt;=$H13*1.5,"🟡 VIGILAR","🟢 OK"))))</f>
        <v/>
      </c>
      <c r="J13" s="33">
        <f>IF($A13="","",IFERROR(SUMIFS('1_Compras_e_Inventario_Inicial'!$I$11:$I$510,'1_Compras_e_Inventario_Inicial'!$D$11:$D$510,$A13)/SUMIFS('1_Compras_e_Inventario_Inicial'!$G$11:$G$510,'1_Compras_e_Inventario_Inicial'!$D$11:$D$510,$A13),0))</f>
        <v/>
      </c>
      <c r="K13" s="25" t="n">
        <v>6.5</v>
      </c>
      <c r="L13" s="33">
        <f>IF($A13="","",$G13*$J13)</f>
        <v/>
      </c>
      <c r="M13" s="33">
        <f>IF($A13="","",$G13*$K13)</f>
        <v/>
      </c>
      <c r="N13" s="34">
        <f>IF($A13="","",IFERROR(($K13-$J13)/$K13,0))</f>
        <v/>
      </c>
    </row>
    <row r="14">
      <c r="A14" s="22" t="inlineStr">
        <is>
          <t>CUA-011</t>
        </is>
      </c>
      <c r="B14" s="23" t="inlineStr">
        <is>
          <t>Cuaderno anillado A5 80h</t>
        </is>
      </c>
      <c r="C14" s="22" t="inlineStr">
        <is>
          <t>Cuadernos</t>
        </is>
      </c>
      <c r="D14" s="24" t="n">
        <v>15</v>
      </c>
      <c r="E14" s="30">
        <f>IF($A14="","",SUMIFS('1_Compras_e_Inventario_Inicial'!$G$11:$G$510,'1_Compras_e_Inventario_Inicial'!$D$11:$D$510,$A14))</f>
        <v/>
      </c>
      <c r="F14" s="30">
        <f>IF($A14="","",SUMIFS('3_Ventas_Diarias'!$E$11:$E$610,'3_Ventas_Diarias'!$C$11:$C$610,$A14))</f>
        <v/>
      </c>
      <c r="G14" s="31">
        <f>IF($A14="","",N($D14)+N($E14)-N($F14))</f>
        <v/>
      </c>
      <c r="H14" s="24" t="n">
        <v>25</v>
      </c>
      <c r="I14" s="32">
        <f>IF($A14="","",IF($G14&lt;=0,"🔴 SIN STOCK",IF($G14&lt;=$H14,"🟠 REPONER",IF($G14&lt;=$H14*1.5,"🟡 VIGILAR","🟢 OK"))))</f>
        <v/>
      </c>
      <c r="J14" s="33">
        <f>IF($A14="","",IFERROR(SUMIFS('1_Compras_e_Inventario_Inicial'!$I$11:$I$510,'1_Compras_e_Inventario_Inicial'!$D$11:$D$510,$A14)/SUMIFS('1_Compras_e_Inventario_Inicial'!$G$11:$G$510,'1_Compras_e_Inventario_Inicial'!$D$11:$D$510,$A14),0))</f>
        <v/>
      </c>
      <c r="K14" s="25" t="n">
        <v>5.9</v>
      </c>
      <c r="L14" s="33">
        <f>IF($A14="","",$G14*$J14)</f>
        <v/>
      </c>
      <c r="M14" s="33">
        <f>IF($A14="","",$G14*$K14)</f>
        <v/>
      </c>
      <c r="N14" s="34">
        <f>IF($A14="","",IFERROR(($K14-$J14)/$K14,0))</f>
        <v/>
      </c>
    </row>
    <row r="15">
      <c r="A15" s="22" t="inlineStr">
        <is>
          <t>KAW-101</t>
        </is>
      </c>
      <c r="B15" s="23" t="inlineStr">
        <is>
          <t>Set stickers ajolote kawaii</t>
        </is>
      </c>
      <c r="C15" s="22" t="inlineStr">
        <is>
          <t>Kawaii/Escolar</t>
        </is>
      </c>
      <c r="D15" s="24" t="n">
        <v>30</v>
      </c>
      <c r="E15" s="30">
        <f>IF($A15="","",SUMIFS('1_Compras_e_Inventario_Inicial'!$G$11:$G$510,'1_Compras_e_Inventario_Inicial'!$D$11:$D$510,$A15))</f>
        <v/>
      </c>
      <c r="F15" s="30">
        <f>IF($A15="","",SUMIFS('3_Ventas_Diarias'!$E$11:$E$610,'3_Ventas_Diarias'!$C$11:$C$610,$A15))</f>
        <v/>
      </c>
      <c r="G15" s="31">
        <f>IF($A15="","",N($D15)+N($E15)-N($F15))</f>
        <v/>
      </c>
      <c r="H15" s="24" t="n">
        <v>40</v>
      </c>
      <c r="I15" s="32">
        <f>IF($A15="","",IF($G15&lt;=0,"🔴 SIN STOCK",IF($G15&lt;=$H15,"🟠 REPONER",IF($G15&lt;=$H15*1.5,"🟡 VIGILAR","🟢 OK"))))</f>
        <v/>
      </c>
      <c r="J15" s="33">
        <f>IF($A15="","",IFERROR(SUMIFS('1_Compras_e_Inventario_Inicial'!$I$11:$I$510,'1_Compras_e_Inventario_Inicial'!$D$11:$D$510,$A15)/SUMIFS('1_Compras_e_Inventario_Inicial'!$G$11:$G$510,'1_Compras_e_Inventario_Inicial'!$D$11:$D$510,$A15),0))</f>
        <v/>
      </c>
      <c r="K15" s="25" t="n">
        <v>4.5</v>
      </c>
      <c r="L15" s="33">
        <f>IF($A15="","",$G15*$J15)</f>
        <v/>
      </c>
      <c r="M15" s="33">
        <f>IF($A15="","",$G15*$K15)</f>
        <v/>
      </c>
      <c r="N15" s="34">
        <f>IF($A15="","",IFERROR(($K15-$J15)/$K15,0))</f>
        <v/>
      </c>
    </row>
    <row r="16">
      <c r="A16" s="22" t="inlineStr">
        <is>
          <t>KAW-102</t>
        </is>
      </c>
      <c r="B16" s="23" t="inlineStr">
        <is>
          <t>Lapicero gel pastel x6</t>
        </is>
      </c>
      <c r="C16" s="22" t="inlineStr">
        <is>
          <t>Kawaii/Escolar</t>
        </is>
      </c>
      <c r="D16" s="24" t="n">
        <v>25</v>
      </c>
      <c r="E16" s="30">
        <f>IF($A16="","",SUMIFS('1_Compras_e_Inventario_Inicial'!$G$11:$G$510,'1_Compras_e_Inventario_Inicial'!$D$11:$D$510,$A16))</f>
        <v/>
      </c>
      <c r="F16" s="30">
        <f>IF($A16="","",SUMIFS('3_Ventas_Diarias'!$E$11:$E$610,'3_Ventas_Diarias'!$C$11:$C$610,$A16))</f>
        <v/>
      </c>
      <c r="G16" s="31">
        <f>IF($A16="","",N($D16)+N($E16)-N($F16))</f>
        <v/>
      </c>
      <c r="H16" s="24" t="n">
        <v>30</v>
      </c>
      <c r="I16" s="32">
        <f>IF($A16="","",IF($G16&lt;=0,"🔴 SIN STOCK",IF($G16&lt;=$H16,"🟠 REPONER",IF($G16&lt;=$H16*1.5,"🟡 VIGILAR","🟢 OK"))))</f>
        <v/>
      </c>
      <c r="J16" s="33">
        <f>IF($A16="","",IFERROR(SUMIFS('1_Compras_e_Inventario_Inicial'!$I$11:$I$510,'1_Compras_e_Inventario_Inicial'!$D$11:$D$510,$A16)/SUMIFS('1_Compras_e_Inventario_Inicial'!$G$11:$G$510,'1_Compras_e_Inventario_Inicial'!$D$11:$D$510,$A16),0))</f>
        <v/>
      </c>
      <c r="K16" s="25" t="n">
        <v>9.9</v>
      </c>
      <c r="L16" s="33">
        <f>IF($A16="","",$G16*$J16)</f>
        <v/>
      </c>
      <c r="M16" s="33">
        <f>IF($A16="","",$G16*$K16)</f>
        <v/>
      </c>
      <c r="N16" s="34">
        <f>IF($A16="","",IFERROR(($K16-$J16)/$K16,0))</f>
        <v/>
      </c>
    </row>
    <row r="17">
      <c r="A17" s="22" t="inlineStr">
        <is>
          <t>KAW-103</t>
        </is>
      </c>
      <c r="B17" s="23" t="inlineStr">
        <is>
          <t>Peluche llavero ajolote</t>
        </is>
      </c>
      <c r="C17" s="22" t="inlineStr">
        <is>
          <t>Kawaii/Escolar</t>
        </is>
      </c>
      <c r="D17" s="24" t="n">
        <v>10</v>
      </c>
      <c r="E17" s="30">
        <f>IF($A17="","",SUMIFS('1_Compras_e_Inventario_Inicial'!$G$11:$G$510,'1_Compras_e_Inventario_Inicial'!$D$11:$D$510,$A17))</f>
        <v/>
      </c>
      <c r="F17" s="30">
        <f>IF($A17="","",SUMIFS('3_Ventas_Diarias'!$E$11:$E$610,'3_Ventas_Diarias'!$C$11:$C$610,$A17))</f>
        <v/>
      </c>
      <c r="G17" s="31">
        <f>IF($A17="","",N($D17)+N($E17)-N($F17))</f>
        <v/>
      </c>
      <c r="H17" s="24" t="n">
        <v>20</v>
      </c>
      <c r="I17" s="32">
        <f>IF($A17="","",IF($G17&lt;=0,"🔴 SIN STOCK",IF($G17&lt;=$H17,"🟠 REPONER",IF($G17&lt;=$H17*1.5,"🟡 VIGILAR","🟢 OK"))))</f>
        <v/>
      </c>
      <c r="J17" s="33">
        <f>IF($A17="","",IFERROR(SUMIFS('1_Compras_e_Inventario_Inicial'!$I$11:$I$510,'1_Compras_e_Inventario_Inicial'!$D$11:$D$510,$A17)/SUMIFS('1_Compras_e_Inventario_Inicial'!$G$11:$G$510,'1_Compras_e_Inventario_Inicial'!$D$11:$D$510,$A17),0))</f>
        <v/>
      </c>
      <c r="K17" s="25" t="n">
        <v>16.9</v>
      </c>
      <c r="L17" s="33">
        <f>IF($A17="","",$G17*$J17)</f>
        <v/>
      </c>
      <c r="M17" s="33">
        <f>IF($A17="","",$G17*$K17)</f>
        <v/>
      </c>
      <c r="N17" s="34">
        <f>IF($A17="","",IFERROR(($K17-$J17)/$K17,0))</f>
        <v/>
      </c>
    </row>
    <row r="18">
      <c r="A18" s="22" t="inlineStr">
        <is>
          <t>LIB-201</t>
        </is>
      </c>
      <c r="B18" s="23" t="inlineStr">
        <is>
          <t>Libro infantil ilustrado</t>
        </is>
      </c>
      <c r="C18" s="22" t="inlineStr">
        <is>
          <t>Libros</t>
        </is>
      </c>
      <c r="D18" s="24" t="n">
        <v>8</v>
      </c>
      <c r="E18" s="30">
        <f>IF($A18="","",SUMIFS('1_Compras_e_Inventario_Inicial'!$G$11:$G$510,'1_Compras_e_Inventario_Inicial'!$D$11:$D$510,$A18))</f>
        <v/>
      </c>
      <c r="F18" s="30">
        <f>IF($A18="","",SUMIFS('3_Ventas_Diarias'!$E$11:$E$610,'3_Ventas_Diarias'!$C$11:$C$610,$A18))</f>
        <v/>
      </c>
      <c r="G18" s="31">
        <f>IF($A18="","",N($D18)+N($E18)-N($F18))</f>
        <v/>
      </c>
      <c r="H18" s="24" t="n">
        <v>12</v>
      </c>
      <c r="I18" s="32">
        <f>IF($A18="","",IF($G18&lt;=0,"🔴 SIN STOCK",IF($G18&lt;=$H18,"🟠 REPONER",IF($G18&lt;=$H18*1.5,"🟡 VIGILAR","🟢 OK"))))</f>
        <v/>
      </c>
      <c r="J18" s="33">
        <f>IF($A18="","",IFERROR(SUMIFS('1_Compras_e_Inventario_Inicial'!$I$11:$I$510,'1_Compras_e_Inventario_Inicial'!$D$11:$D$510,$A18)/SUMIFS('1_Compras_e_Inventario_Inicial'!$G$11:$G$510,'1_Compras_e_Inventario_Inicial'!$D$11:$D$510,$A18),0))</f>
        <v/>
      </c>
      <c r="K18" s="25" t="n">
        <v>29.9</v>
      </c>
      <c r="L18" s="33">
        <f>IF($A18="","",$G18*$J18)</f>
        <v/>
      </c>
      <c r="M18" s="33">
        <f>IF($A18="","",$G18*$K18)</f>
        <v/>
      </c>
      <c r="N18" s="34">
        <f>IF($A18="","",IFERROR(($K18-$J18)/$K18,0))</f>
        <v/>
      </c>
    </row>
    <row r="19">
      <c r="A19" s="22" t="inlineStr">
        <is>
          <t>LIB-202</t>
        </is>
      </c>
      <c r="B19" s="23" t="inlineStr">
        <is>
          <t>Diccionario escolar</t>
        </is>
      </c>
      <c r="C19" s="22" t="inlineStr">
        <is>
          <t>Libros</t>
        </is>
      </c>
      <c r="D19" s="24" t="n">
        <v>5</v>
      </c>
      <c r="E19" s="30">
        <f>IF($A19="","",SUMIFS('1_Compras_e_Inventario_Inicial'!$G$11:$G$510,'1_Compras_e_Inventario_Inicial'!$D$11:$D$510,$A19))</f>
        <v/>
      </c>
      <c r="F19" s="30">
        <f>IF($A19="","",SUMIFS('3_Ventas_Diarias'!$E$11:$E$610,'3_Ventas_Diarias'!$C$11:$C$610,$A19))</f>
        <v/>
      </c>
      <c r="G19" s="31">
        <f>IF($A19="","",N($D19)+N($E19)-N($F19))</f>
        <v/>
      </c>
      <c r="H19" s="24" t="n">
        <v>8</v>
      </c>
      <c r="I19" s="32">
        <f>IF($A19="","",IF($G19&lt;=0,"🔴 SIN STOCK",IF($G19&lt;=$H19,"🟠 REPONER",IF($G19&lt;=$H19*1.5,"🟡 VIGILAR","🟢 OK"))))</f>
        <v/>
      </c>
      <c r="J19" s="33">
        <f>IF($A19="","",IFERROR(SUMIFS('1_Compras_e_Inventario_Inicial'!$I$11:$I$510,'1_Compras_e_Inventario_Inicial'!$D$11:$D$510,$A19)/SUMIFS('1_Compras_e_Inventario_Inicial'!$G$11:$G$510,'1_Compras_e_Inventario_Inicial'!$D$11:$D$510,$A19),0))</f>
        <v/>
      </c>
      <c r="K19" s="25" t="n">
        <v>34.9</v>
      </c>
      <c r="L19" s="33">
        <f>IF($A19="","",$G19*$J19)</f>
        <v/>
      </c>
      <c r="M19" s="33">
        <f>IF($A19="","",$G19*$K19)</f>
        <v/>
      </c>
      <c r="N19" s="34">
        <f>IF($A19="","",IFERROR(($K19-$J19)/$K19,0))</f>
        <v/>
      </c>
    </row>
    <row r="20">
      <c r="A20" s="22" t="inlineStr">
        <is>
          <t>LIB-203</t>
        </is>
      </c>
      <c r="B20" s="23" t="inlineStr">
        <is>
          <t>Plan lector secundaria</t>
        </is>
      </c>
      <c r="C20" s="22" t="inlineStr">
        <is>
          <t>Libros</t>
        </is>
      </c>
      <c r="D20" s="24" t="n">
        <v>6</v>
      </c>
      <c r="E20" s="30">
        <f>IF($A20="","",SUMIFS('1_Compras_e_Inventario_Inicial'!$G$11:$G$510,'1_Compras_e_Inventario_Inicial'!$D$11:$D$510,$A20))</f>
        <v/>
      </c>
      <c r="F20" s="30">
        <f>IF($A20="","",SUMIFS('3_Ventas_Diarias'!$E$11:$E$610,'3_Ventas_Diarias'!$C$11:$C$610,$A20))</f>
        <v/>
      </c>
      <c r="G20" s="31">
        <f>IF($A20="","",N($D20)+N($E20)-N($F20))</f>
        <v/>
      </c>
      <c r="H20" s="24" t="n">
        <v>10</v>
      </c>
      <c r="I20" s="32">
        <f>IF($A20="","",IF($G20&lt;=0,"🔴 SIN STOCK",IF($G20&lt;=$H20,"🟠 REPONER",IF($G20&lt;=$H20*1.5,"🟡 VIGILAR","🟢 OK"))))</f>
        <v/>
      </c>
      <c r="J20" s="33">
        <f>IF($A20="","",IFERROR(SUMIFS('1_Compras_e_Inventario_Inicial'!$I$11:$I$510,'1_Compras_e_Inventario_Inicial'!$D$11:$D$510,$A20)/SUMIFS('1_Compras_e_Inventario_Inicial'!$G$11:$G$510,'1_Compras_e_Inventario_Inicial'!$D$11:$D$510,$A20),0))</f>
        <v/>
      </c>
      <c r="K20" s="25" t="n">
        <v>26.9</v>
      </c>
      <c r="L20" s="33">
        <f>IF($A20="","",$G20*$J20)</f>
        <v/>
      </c>
      <c r="M20" s="33">
        <f>IF($A20="","",$G20*$K20)</f>
        <v/>
      </c>
      <c r="N20" s="34">
        <f>IF($A20="","",IFERROR(($K20-$J20)/$K20,0))</f>
        <v/>
      </c>
    </row>
    <row r="21">
      <c r="A21" s="22" t="inlineStr">
        <is>
          <t>ART-301</t>
        </is>
      </c>
      <c r="B21" s="23" t="inlineStr">
        <is>
          <t>Témpera 12 colores</t>
        </is>
      </c>
      <c r="C21" s="22" t="inlineStr">
        <is>
          <t>Arte</t>
        </is>
      </c>
      <c r="D21" s="24" t="n">
        <v>12</v>
      </c>
      <c r="E21" s="30">
        <f>IF($A21="","",SUMIFS('1_Compras_e_Inventario_Inicial'!$G$11:$G$510,'1_Compras_e_Inventario_Inicial'!$D$11:$D$510,$A21))</f>
        <v/>
      </c>
      <c r="F21" s="30">
        <f>IF($A21="","",SUMIFS('3_Ventas_Diarias'!$E$11:$E$610,'3_Ventas_Diarias'!$C$11:$C$610,$A21))</f>
        <v/>
      </c>
      <c r="G21" s="31">
        <f>IF($A21="","",N($D21)+N($E21)-N($F21))</f>
        <v/>
      </c>
      <c r="H21" s="24" t="n">
        <v>20</v>
      </c>
      <c r="I21" s="32">
        <f>IF($A21="","",IF($G21&lt;=0,"🔴 SIN STOCK",IF($G21&lt;=$H21,"🟠 REPONER",IF($G21&lt;=$H21*1.5,"🟡 VIGILAR","🟢 OK"))))</f>
        <v/>
      </c>
      <c r="J21" s="33">
        <f>IF($A21="","",IFERROR(SUMIFS('1_Compras_e_Inventario_Inicial'!$I$11:$I$510,'1_Compras_e_Inventario_Inicial'!$D$11:$D$510,$A21)/SUMIFS('1_Compras_e_Inventario_Inicial'!$G$11:$G$510,'1_Compras_e_Inventario_Inicial'!$D$11:$D$510,$A21),0))</f>
        <v/>
      </c>
      <c r="K21" s="25" t="n">
        <v>13.9</v>
      </c>
      <c r="L21" s="33">
        <f>IF($A21="","",$G21*$J21)</f>
        <v/>
      </c>
      <c r="M21" s="33">
        <f>IF($A21="","",$G21*$K21)</f>
        <v/>
      </c>
      <c r="N21" s="34">
        <f>IF($A21="","",IFERROR(($K21-$J21)/$K21,0))</f>
        <v/>
      </c>
    </row>
    <row r="22">
      <c r="A22" s="22" t="inlineStr">
        <is>
          <t>ART-302</t>
        </is>
      </c>
      <c r="B22" s="23" t="inlineStr">
        <is>
          <t>Block de dibujo A3</t>
        </is>
      </c>
      <c r="C22" s="22" t="inlineStr">
        <is>
          <t>Arte</t>
        </is>
      </c>
      <c r="D22" s="24" t="n">
        <v>15</v>
      </c>
      <c r="E22" s="30">
        <f>IF($A22="","",SUMIFS('1_Compras_e_Inventario_Inicial'!$G$11:$G$510,'1_Compras_e_Inventario_Inicial'!$D$11:$D$510,$A22))</f>
        <v/>
      </c>
      <c r="F22" s="30">
        <f>IF($A22="","",SUMIFS('3_Ventas_Diarias'!$E$11:$E$610,'3_Ventas_Diarias'!$C$11:$C$610,$A22))</f>
        <v/>
      </c>
      <c r="G22" s="31">
        <f>IF($A22="","",N($D22)+N($E22)-N($F22))</f>
        <v/>
      </c>
      <c r="H22" s="24" t="n">
        <v>20</v>
      </c>
      <c r="I22" s="32">
        <f>IF($A22="","",IF($G22&lt;=0,"🔴 SIN STOCK",IF($G22&lt;=$H22,"🟠 REPONER",IF($G22&lt;=$H22*1.5,"🟡 VIGILAR","🟢 OK"))))</f>
        <v/>
      </c>
      <c r="J22" s="33">
        <f>IF($A22="","",IFERROR(SUMIFS('1_Compras_e_Inventario_Inicial'!$I$11:$I$510,'1_Compras_e_Inventario_Inicial'!$D$11:$D$510,$A22)/SUMIFS('1_Compras_e_Inventario_Inicial'!$G$11:$G$510,'1_Compras_e_Inventario_Inicial'!$D$11:$D$510,$A22),0))</f>
        <v/>
      </c>
      <c r="K22" s="25" t="n">
        <v>10.9</v>
      </c>
      <c r="L22" s="33">
        <f>IF($A22="","",$G22*$J22)</f>
        <v/>
      </c>
      <c r="M22" s="33">
        <f>IF($A22="","",$G22*$K22)</f>
        <v/>
      </c>
      <c r="N22" s="34">
        <f>IF($A22="","",IFERROR(($K22-$J22)/$K22,0))</f>
        <v/>
      </c>
    </row>
    <row r="23">
      <c r="A23" s="22" t="inlineStr">
        <is>
          <t>ESC-401</t>
        </is>
      </c>
      <c r="B23" s="23" t="inlineStr">
        <is>
          <t>Colores x24 largos</t>
        </is>
      </c>
      <c r="C23" s="22" t="inlineStr">
        <is>
          <t>Escritura</t>
        </is>
      </c>
      <c r="D23" s="24" t="n">
        <v>18</v>
      </c>
      <c r="E23" s="30">
        <f>IF($A23="","",SUMIFS('1_Compras_e_Inventario_Inicial'!$G$11:$G$510,'1_Compras_e_Inventario_Inicial'!$D$11:$D$510,$A23))</f>
        <v/>
      </c>
      <c r="F23" s="30">
        <f>IF($A23="","",SUMIFS('3_Ventas_Diarias'!$E$11:$E$610,'3_Ventas_Diarias'!$C$11:$C$610,$A23))</f>
        <v/>
      </c>
      <c r="G23" s="31">
        <f>IF($A23="","",N($D23)+N($E23)-N($F23))</f>
        <v/>
      </c>
      <c r="H23" s="24" t="n">
        <v>25</v>
      </c>
      <c r="I23" s="32">
        <f>IF($A23="","",IF($G23&lt;=0,"🔴 SIN STOCK",IF($G23&lt;=$H23,"🟠 REPONER",IF($G23&lt;=$H23*1.5,"🟡 VIGILAR","🟢 OK"))))</f>
        <v/>
      </c>
      <c r="J23" s="33">
        <f>IF($A23="","",IFERROR(SUMIFS('1_Compras_e_Inventario_Inicial'!$I$11:$I$510,'1_Compras_e_Inventario_Inicial'!$D$11:$D$510,$A23)/SUMIFS('1_Compras_e_Inventario_Inicial'!$G$11:$G$510,'1_Compras_e_Inventario_Inicial'!$D$11:$D$510,$A23),0))</f>
        <v/>
      </c>
      <c r="K23" s="25" t="n">
        <v>19.9</v>
      </c>
      <c r="L23" s="33">
        <f>IF($A23="","",$G23*$J23)</f>
        <v/>
      </c>
      <c r="M23" s="33">
        <f>IF($A23="","",$G23*$K23)</f>
        <v/>
      </c>
      <c r="N23" s="34">
        <f>IF($A23="","",IFERROR(($K23-$J23)/$K23,0))</f>
        <v/>
      </c>
    </row>
    <row r="24">
      <c r="A24" s="22" t="inlineStr">
        <is>
          <t>ESC-402</t>
        </is>
      </c>
      <c r="B24" s="23" t="inlineStr">
        <is>
          <t>Plumón resaltador pastel x4</t>
        </is>
      </c>
      <c r="C24" s="22" t="inlineStr">
        <is>
          <t>Escritura</t>
        </is>
      </c>
      <c r="D24" s="24" t="n">
        <v>22</v>
      </c>
      <c r="E24" s="30">
        <f>IF($A24="","",SUMIFS('1_Compras_e_Inventario_Inicial'!$G$11:$G$510,'1_Compras_e_Inventario_Inicial'!$D$11:$D$510,$A24))</f>
        <v/>
      </c>
      <c r="F24" s="30">
        <f>IF($A24="","",SUMIFS('3_Ventas_Diarias'!$E$11:$E$610,'3_Ventas_Diarias'!$C$11:$C$610,$A24))</f>
        <v/>
      </c>
      <c r="G24" s="31">
        <f>IF($A24="","",N($D24)+N($E24)-N($F24))</f>
        <v/>
      </c>
      <c r="H24" s="24" t="n">
        <v>30</v>
      </c>
      <c r="I24" s="32">
        <f>IF($A24="","",IF($G24&lt;=0,"🔴 SIN STOCK",IF($G24&lt;=$H24,"🟠 REPONER",IF($G24&lt;=$H24*1.5,"🟡 VIGILAR","🟢 OK"))))</f>
        <v/>
      </c>
      <c r="J24" s="33">
        <f>IF($A24="","",IFERROR(SUMIFS('1_Compras_e_Inventario_Inicial'!$I$11:$I$510,'1_Compras_e_Inventario_Inicial'!$D$11:$D$510,$A24)/SUMIFS('1_Compras_e_Inventario_Inicial'!$G$11:$G$510,'1_Compras_e_Inventario_Inicial'!$D$11:$D$510,$A24),0))</f>
        <v/>
      </c>
      <c r="K24" s="25" t="n">
        <v>8.9</v>
      </c>
      <c r="L24" s="33">
        <f>IF($A24="","",$G24*$J24)</f>
        <v/>
      </c>
      <c r="M24" s="33">
        <f>IF($A24="","",$G24*$K24)</f>
        <v/>
      </c>
      <c r="N24" s="34">
        <f>IF($A24="","",IFERROR(($K24-$J24)/$K24,0))</f>
        <v/>
      </c>
    </row>
    <row r="25">
      <c r="A25" s="22" t="inlineStr">
        <is>
          <t>ESC-403</t>
        </is>
      </c>
      <c r="B25" s="23" t="inlineStr">
        <is>
          <t>Lápiz 2B caja x12</t>
        </is>
      </c>
      <c r="C25" s="22" t="inlineStr">
        <is>
          <t>Escritura</t>
        </is>
      </c>
      <c r="D25" s="24" t="n">
        <v>20</v>
      </c>
      <c r="E25" s="30">
        <f>IF($A25="","",SUMIFS('1_Compras_e_Inventario_Inicial'!$G$11:$G$510,'1_Compras_e_Inventario_Inicial'!$D$11:$D$510,$A25))</f>
        <v/>
      </c>
      <c r="F25" s="30">
        <f>IF($A25="","",SUMIFS('3_Ventas_Diarias'!$E$11:$E$610,'3_Ventas_Diarias'!$C$11:$C$610,$A25))</f>
        <v/>
      </c>
      <c r="G25" s="31">
        <f>IF($A25="","",N($D25)+N($E25)-N($F25))</f>
        <v/>
      </c>
      <c r="H25" s="24" t="n">
        <v>25</v>
      </c>
      <c r="I25" s="32">
        <f>IF($A25="","",IF($G25&lt;=0,"🔴 SIN STOCK",IF($G25&lt;=$H25,"🟠 REPONER",IF($G25&lt;=$H25*1.5,"🟡 VIGILAR","🟢 OK"))))</f>
        <v/>
      </c>
      <c r="J25" s="33">
        <f>IF($A25="","",IFERROR(SUMIFS('1_Compras_e_Inventario_Inicial'!$I$11:$I$510,'1_Compras_e_Inventario_Inicial'!$D$11:$D$510,$A25)/SUMIFS('1_Compras_e_Inventario_Inicial'!$G$11:$G$510,'1_Compras_e_Inventario_Inicial'!$D$11:$D$510,$A25),0))</f>
        <v/>
      </c>
      <c r="K25" s="25" t="n">
        <v>10.9</v>
      </c>
      <c r="L25" s="33">
        <f>IF($A25="","",$G25*$J25)</f>
        <v/>
      </c>
      <c r="M25" s="33">
        <f>IF($A25="","",$G25*$K25)</f>
        <v/>
      </c>
      <c r="N25" s="34">
        <f>IF($A25="","",IFERROR(($K25-$J25)/$K25,0))</f>
        <v/>
      </c>
    </row>
    <row r="26">
      <c r="A26" s="22" t="inlineStr">
        <is>
          <t>MOC-501</t>
        </is>
      </c>
      <c r="B26" s="23" t="inlineStr">
        <is>
          <t>Mochila escolar estampada</t>
        </is>
      </c>
      <c r="C26" s="22" t="inlineStr">
        <is>
          <t>Mochilas y Loncheras</t>
        </is>
      </c>
      <c r="D26" s="24" t="n">
        <v>4</v>
      </c>
      <c r="E26" s="30">
        <f>IF($A26="","",SUMIFS('1_Compras_e_Inventario_Inicial'!$G$11:$G$510,'1_Compras_e_Inventario_Inicial'!$D$11:$D$510,$A26))</f>
        <v/>
      </c>
      <c r="F26" s="30">
        <f>IF($A26="","",SUMIFS('3_Ventas_Diarias'!$E$11:$E$610,'3_Ventas_Diarias'!$C$11:$C$610,$A26))</f>
        <v/>
      </c>
      <c r="G26" s="31">
        <f>IF($A26="","",N($D26)+N($E26)-N($F26))</f>
        <v/>
      </c>
      <c r="H26" s="24" t="n">
        <v>8</v>
      </c>
      <c r="I26" s="32">
        <f>IF($A26="","",IF($G26&lt;=0,"🔴 SIN STOCK",IF($G26&lt;=$H26,"🟠 REPONER",IF($G26&lt;=$H26*1.5,"🟡 VIGILAR","🟢 OK"))))</f>
        <v/>
      </c>
      <c r="J26" s="33">
        <f>IF($A26="","",IFERROR(SUMIFS('1_Compras_e_Inventario_Inicial'!$I$11:$I$510,'1_Compras_e_Inventario_Inicial'!$D$11:$D$510,$A26)/SUMIFS('1_Compras_e_Inventario_Inicial'!$G$11:$G$510,'1_Compras_e_Inventario_Inicial'!$D$11:$D$510,$A26),0))</f>
        <v/>
      </c>
      <c r="K26" s="25" t="n">
        <v>59.9</v>
      </c>
      <c r="L26" s="33">
        <f>IF($A26="","",$G26*$J26)</f>
        <v/>
      </c>
      <c r="M26" s="33">
        <f>IF($A26="","",$G26*$K26)</f>
        <v/>
      </c>
      <c r="N26" s="34">
        <f>IF($A26="","",IFERROR(($K26-$J26)/$K26,0))</f>
        <v/>
      </c>
    </row>
    <row r="27">
      <c r="A27" s="22" t="inlineStr">
        <is>
          <t>MOC-502</t>
        </is>
      </c>
      <c r="B27" s="23" t="inlineStr">
        <is>
          <t>Lonchera térmica kawaii</t>
        </is>
      </c>
      <c r="C27" s="22" t="inlineStr">
        <is>
          <t>Mochilas y Loncheras</t>
        </is>
      </c>
      <c r="D27" s="24" t="n">
        <v>6</v>
      </c>
      <c r="E27" s="30">
        <f>IF($A27="","",SUMIFS('1_Compras_e_Inventario_Inicial'!$G$11:$G$510,'1_Compras_e_Inventario_Inicial'!$D$11:$D$510,$A27))</f>
        <v/>
      </c>
      <c r="F27" s="30">
        <f>IF($A27="","",SUMIFS('3_Ventas_Diarias'!$E$11:$E$610,'3_Ventas_Diarias'!$C$11:$C$610,$A27))</f>
        <v/>
      </c>
      <c r="G27" s="31">
        <f>IF($A27="","",N($D27)+N($E27)-N($F27))</f>
        <v/>
      </c>
      <c r="H27" s="24" t="n">
        <v>10</v>
      </c>
      <c r="I27" s="32">
        <f>IF($A27="","",IF($G27&lt;=0,"🔴 SIN STOCK",IF($G27&lt;=$H27,"🟠 REPONER",IF($G27&lt;=$H27*1.5,"🟡 VIGILAR","🟢 OK"))))</f>
        <v/>
      </c>
      <c r="J27" s="33">
        <f>IF($A27="","",IFERROR(SUMIFS('1_Compras_e_Inventario_Inicial'!$I$11:$I$510,'1_Compras_e_Inventario_Inicial'!$D$11:$D$510,$A27)/SUMIFS('1_Compras_e_Inventario_Inicial'!$G$11:$G$510,'1_Compras_e_Inventario_Inicial'!$D$11:$D$510,$A27),0))</f>
        <v/>
      </c>
      <c r="K27" s="25" t="n">
        <v>38.9</v>
      </c>
      <c r="L27" s="33">
        <f>IF($A27="","",$G27*$J27)</f>
        <v/>
      </c>
      <c r="M27" s="33">
        <f>IF($A27="","",$G27*$K27)</f>
        <v/>
      </c>
      <c r="N27" s="34">
        <f>IF($A27="","",IFERROR(($K27-$J27)/$K27,0))</f>
        <v/>
      </c>
    </row>
    <row r="28">
      <c r="A28" s="22" t="inlineStr">
        <is>
          <t>OFI-601</t>
        </is>
      </c>
      <c r="B28" s="23" t="inlineStr">
        <is>
          <t>Archivador palanca A4</t>
        </is>
      </c>
      <c r="C28" s="22" t="inlineStr">
        <is>
          <t>Oficina</t>
        </is>
      </c>
      <c r="D28" s="24" t="n">
        <v>10</v>
      </c>
      <c r="E28" s="30">
        <f>IF($A28="","",SUMIFS('1_Compras_e_Inventario_Inicial'!$G$11:$G$510,'1_Compras_e_Inventario_Inicial'!$D$11:$D$510,$A28))</f>
        <v/>
      </c>
      <c r="F28" s="30">
        <f>IF($A28="","",SUMIFS('3_Ventas_Diarias'!$E$11:$E$610,'3_Ventas_Diarias'!$C$11:$C$610,$A28))</f>
        <v/>
      </c>
      <c r="G28" s="31">
        <f>IF($A28="","",N($D28)+N($E28)-N($F28))</f>
        <v/>
      </c>
      <c r="H28" s="24" t="n">
        <v>15</v>
      </c>
      <c r="I28" s="32">
        <f>IF($A28="","",IF($G28&lt;=0,"🔴 SIN STOCK",IF($G28&lt;=$H28,"🟠 REPONER",IF($G28&lt;=$H28*1.5,"🟡 VIGILAR","🟢 OK"))))</f>
        <v/>
      </c>
      <c r="J28" s="33">
        <f>IF($A28="","",IFERROR(SUMIFS('1_Compras_e_Inventario_Inicial'!$I$11:$I$510,'1_Compras_e_Inventario_Inicial'!$D$11:$D$510,$A28)/SUMIFS('1_Compras_e_Inventario_Inicial'!$G$11:$G$510,'1_Compras_e_Inventario_Inicial'!$D$11:$D$510,$A28),0))</f>
        <v/>
      </c>
      <c r="K28" s="25" t="n">
        <v>15.9</v>
      </c>
      <c r="L28" s="33">
        <f>IF($A28="","",$G28*$J28)</f>
        <v/>
      </c>
      <c r="M28" s="33">
        <f>IF($A28="","",$G28*$K28)</f>
        <v/>
      </c>
      <c r="N28" s="34">
        <f>IF($A28="","",IFERROR(($K28-$J28)/$K28,0))</f>
        <v/>
      </c>
    </row>
    <row r="29">
      <c r="A29" s="22" t="inlineStr">
        <is>
          <t>MAN-701</t>
        </is>
      </c>
      <c r="B29" s="23" t="inlineStr">
        <is>
          <t>Set de foamy glitter x10</t>
        </is>
      </c>
      <c r="C29" s="22" t="inlineStr">
        <is>
          <t>Manualidades</t>
        </is>
      </c>
      <c r="D29" s="24" t="n">
        <v>8</v>
      </c>
      <c r="E29" s="30">
        <f>IF($A29="","",SUMIFS('1_Compras_e_Inventario_Inicial'!$G$11:$G$510,'1_Compras_e_Inventario_Inicial'!$D$11:$D$510,$A29))</f>
        <v/>
      </c>
      <c r="F29" s="30">
        <f>IF($A29="","",SUMIFS('3_Ventas_Diarias'!$E$11:$E$610,'3_Ventas_Diarias'!$C$11:$C$610,$A29))</f>
        <v/>
      </c>
      <c r="G29" s="31">
        <f>IF($A29="","",N($D29)+N($E29)-N($F29))</f>
        <v/>
      </c>
      <c r="H29" s="24" t="n">
        <v>15</v>
      </c>
      <c r="I29" s="32">
        <f>IF($A29="","",IF($G29&lt;=0,"🔴 SIN STOCK",IF($G29&lt;=$H29,"🟠 REPONER",IF($G29&lt;=$H29*1.5,"🟡 VIGILAR","🟢 OK"))))</f>
        <v/>
      </c>
      <c r="J29" s="33">
        <f>IF($A29="","",IFERROR(SUMIFS('1_Compras_e_Inventario_Inicial'!$I$11:$I$510,'1_Compras_e_Inventario_Inicial'!$D$11:$D$510,$A29)/SUMIFS('1_Compras_e_Inventario_Inicial'!$G$11:$G$510,'1_Compras_e_Inventario_Inicial'!$D$11:$D$510,$A29),0))</f>
        <v/>
      </c>
      <c r="K29" s="25" t="n">
        <v>9.9</v>
      </c>
      <c r="L29" s="33">
        <f>IF($A29="","",$G29*$J29)</f>
        <v/>
      </c>
      <c r="M29" s="33">
        <f>IF($A29="","",$G29*$K29)</f>
        <v/>
      </c>
      <c r="N29" s="34">
        <f>IF($A29="","",IFERROR(($K29-$J29)/$K29,0))</f>
        <v/>
      </c>
    </row>
    <row r="30">
      <c r="A30" s="22" t="inlineStr">
        <is>
          <t>TEC-801</t>
        </is>
      </c>
      <c r="B30" s="23" t="inlineStr">
        <is>
          <t>Calculadora científica</t>
        </is>
      </c>
      <c r="C30" s="22" t="inlineStr">
        <is>
          <t>Tecnología</t>
        </is>
      </c>
      <c r="D30" s="24" t="n">
        <v>3</v>
      </c>
      <c r="E30" s="30">
        <f>IF($A30="","",SUMIFS('1_Compras_e_Inventario_Inicial'!$G$11:$G$510,'1_Compras_e_Inventario_Inicial'!$D$11:$D$510,$A30))</f>
        <v/>
      </c>
      <c r="F30" s="30">
        <f>IF($A30="","",SUMIFS('3_Ventas_Diarias'!$E$11:$E$610,'3_Ventas_Diarias'!$C$11:$C$610,$A30))</f>
        <v/>
      </c>
      <c r="G30" s="31">
        <f>IF($A30="","",N($D30)+N($E30)-N($F30))</f>
        <v/>
      </c>
      <c r="H30" s="24" t="n">
        <v>6</v>
      </c>
      <c r="I30" s="32">
        <f>IF($A30="","",IF($G30&lt;=0,"🔴 SIN STOCK",IF($G30&lt;=$H30,"🟠 REPONER",IF($G30&lt;=$H30*1.5,"🟡 VIGILAR","🟢 OK"))))</f>
        <v/>
      </c>
      <c r="J30" s="33">
        <f>IF($A30="","",IFERROR(SUMIFS('1_Compras_e_Inventario_Inicial'!$I$11:$I$510,'1_Compras_e_Inventario_Inicial'!$D$11:$D$510,$A30)/SUMIFS('1_Compras_e_Inventario_Inicial'!$G$11:$G$510,'1_Compras_e_Inventario_Inicial'!$D$11:$D$510,$A30),0))</f>
        <v/>
      </c>
      <c r="K30" s="25" t="n">
        <v>45</v>
      </c>
      <c r="L30" s="33">
        <f>IF($A30="","",$G30*$J30)</f>
        <v/>
      </c>
      <c r="M30" s="33">
        <f>IF($A30="","",$G30*$K30)</f>
        <v/>
      </c>
      <c r="N30" s="34">
        <f>IF($A30="","",IFERROR(($K30-$J30)/$K30,0))</f>
        <v/>
      </c>
    </row>
    <row r="31">
      <c r="A31" s="22" t="inlineStr">
        <is>
          <t>KAW-104</t>
        </is>
      </c>
      <c r="B31" s="23" t="inlineStr">
        <is>
          <t>Cuaderno ajolote tapa dura A5</t>
        </is>
      </c>
      <c r="C31" s="22" t="inlineStr">
        <is>
          <t>Kawaii/Escolar</t>
        </is>
      </c>
      <c r="D31" s="24" t="n">
        <v>0</v>
      </c>
      <c r="E31" s="30">
        <f>IF($A31="","",SUMIFS('1_Compras_e_Inventario_Inicial'!$G$11:$G$510,'1_Compras_e_Inventario_Inicial'!$D$11:$D$510,$A31))</f>
        <v/>
      </c>
      <c r="F31" s="30">
        <f>IF($A31="","",SUMIFS('3_Ventas_Diarias'!$E$11:$E$610,'3_Ventas_Diarias'!$C$11:$C$610,$A31))</f>
        <v/>
      </c>
      <c r="G31" s="31">
        <f>IF($A31="","",N($D31)+N($E31)-N($F31))</f>
        <v/>
      </c>
      <c r="H31" s="24" t="n">
        <v>12</v>
      </c>
      <c r="I31" s="32">
        <f>IF($A31="","",IF($G31&lt;=0,"🔴 SIN STOCK",IF($G31&lt;=$H31,"🟠 REPONER",IF($G31&lt;=$H31*1.5,"🟡 VIGILAR","🟢 OK"))))</f>
        <v/>
      </c>
      <c r="J31" s="33">
        <f>IF($A31="","",IFERROR(SUMIFS('1_Compras_e_Inventario_Inicial'!$I$11:$I$510,'1_Compras_e_Inventario_Inicial'!$D$11:$D$510,$A31)/SUMIFS('1_Compras_e_Inventario_Inicial'!$G$11:$G$510,'1_Compras_e_Inventario_Inicial'!$D$11:$D$510,$A31),0))</f>
        <v/>
      </c>
      <c r="K31" s="25" t="n">
        <v>22.9</v>
      </c>
      <c r="L31" s="33">
        <f>IF($A31="","",$G31*$J31)</f>
        <v/>
      </c>
      <c r="M31" s="33">
        <f>IF($A31="","",$G31*$K31)</f>
        <v/>
      </c>
      <c r="N31" s="34">
        <f>IF($A31="","",IFERROR(($K31-$J31)/$K31,0))</f>
        <v/>
      </c>
    </row>
    <row r="32">
      <c r="A32" s="22" t="n"/>
      <c r="B32" s="23" t="n"/>
      <c r="C32" s="22" t="n"/>
      <c r="D32" s="24" t="n"/>
      <c r="E32" s="30">
        <f>IF($A32="","",SUMIFS('1_Compras_e_Inventario_Inicial'!$G$11:$G$510,'1_Compras_e_Inventario_Inicial'!$D$11:$D$510,$A32))</f>
        <v/>
      </c>
      <c r="F32" s="30">
        <f>IF($A32="","",SUMIFS('3_Ventas_Diarias'!$E$11:$E$610,'3_Ventas_Diarias'!$C$11:$C$610,$A32))</f>
        <v/>
      </c>
      <c r="G32" s="31">
        <f>IF($A32="","",N($D32)+N($E32)-N($F32))</f>
        <v/>
      </c>
      <c r="H32" s="24" t="n"/>
      <c r="I32" s="32">
        <f>IF($A32="","",IF($G32&lt;=0,"🔴 SIN STOCK",IF($G32&lt;=$H32,"🟠 REPONER",IF($G32&lt;=$H32*1.5,"🟡 VIGILAR","🟢 OK"))))</f>
        <v/>
      </c>
      <c r="J32" s="33">
        <f>IF($A32="","",IFERROR(SUMIFS('1_Compras_e_Inventario_Inicial'!$I$11:$I$510,'1_Compras_e_Inventario_Inicial'!$D$11:$D$510,$A32)/SUMIFS('1_Compras_e_Inventario_Inicial'!$G$11:$G$510,'1_Compras_e_Inventario_Inicial'!$D$11:$D$510,$A32),0))</f>
        <v/>
      </c>
      <c r="K32" s="25" t="n"/>
      <c r="L32" s="33">
        <f>IF($A32="","",$G32*$J32)</f>
        <v/>
      </c>
      <c r="M32" s="33">
        <f>IF($A32="","",$G32*$K32)</f>
        <v/>
      </c>
      <c r="N32" s="34">
        <f>IF($A32="","",IFERROR(($K32-$J32)/$K32,0))</f>
        <v/>
      </c>
    </row>
    <row r="33">
      <c r="A33" s="22" t="n"/>
      <c r="B33" s="23" t="n"/>
      <c r="C33" s="22" t="n"/>
      <c r="D33" s="24" t="n"/>
      <c r="E33" s="30">
        <f>IF($A33="","",SUMIFS('1_Compras_e_Inventario_Inicial'!$G$11:$G$510,'1_Compras_e_Inventario_Inicial'!$D$11:$D$510,$A33))</f>
        <v/>
      </c>
      <c r="F33" s="30">
        <f>IF($A33="","",SUMIFS('3_Ventas_Diarias'!$E$11:$E$610,'3_Ventas_Diarias'!$C$11:$C$610,$A33))</f>
        <v/>
      </c>
      <c r="G33" s="31">
        <f>IF($A33="","",N($D33)+N($E33)-N($F33))</f>
        <v/>
      </c>
      <c r="H33" s="24" t="n"/>
      <c r="I33" s="32">
        <f>IF($A33="","",IF($G33&lt;=0,"🔴 SIN STOCK",IF($G33&lt;=$H33,"🟠 REPONER",IF($G33&lt;=$H33*1.5,"🟡 VIGILAR","🟢 OK"))))</f>
        <v/>
      </c>
      <c r="J33" s="33">
        <f>IF($A33="","",IFERROR(SUMIFS('1_Compras_e_Inventario_Inicial'!$I$11:$I$510,'1_Compras_e_Inventario_Inicial'!$D$11:$D$510,$A33)/SUMIFS('1_Compras_e_Inventario_Inicial'!$G$11:$G$510,'1_Compras_e_Inventario_Inicial'!$D$11:$D$510,$A33),0))</f>
        <v/>
      </c>
      <c r="K33" s="25" t="n"/>
      <c r="L33" s="33">
        <f>IF($A33="","",$G33*$J33)</f>
        <v/>
      </c>
      <c r="M33" s="33">
        <f>IF($A33="","",$G33*$K33)</f>
        <v/>
      </c>
      <c r="N33" s="34">
        <f>IF($A33="","",IFERROR(($K33-$J33)/$K33,0))</f>
        <v/>
      </c>
    </row>
    <row r="34">
      <c r="A34" s="22" t="n"/>
      <c r="B34" s="23" t="n"/>
      <c r="C34" s="22" t="n"/>
      <c r="D34" s="24" t="n"/>
      <c r="E34" s="30">
        <f>IF($A34="","",SUMIFS('1_Compras_e_Inventario_Inicial'!$G$11:$G$510,'1_Compras_e_Inventario_Inicial'!$D$11:$D$510,$A34))</f>
        <v/>
      </c>
      <c r="F34" s="30">
        <f>IF($A34="","",SUMIFS('3_Ventas_Diarias'!$E$11:$E$610,'3_Ventas_Diarias'!$C$11:$C$610,$A34))</f>
        <v/>
      </c>
      <c r="G34" s="31">
        <f>IF($A34="","",N($D34)+N($E34)-N($F34))</f>
        <v/>
      </c>
      <c r="H34" s="24" t="n"/>
      <c r="I34" s="32">
        <f>IF($A34="","",IF($G34&lt;=0,"🔴 SIN STOCK",IF($G34&lt;=$H34,"🟠 REPONER",IF($G34&lt;=$H34*1.5,"🟡 VIGILAR","🟢 OK"))))</f>
        <v/>
      </c>
      <c r="J34" s="33">
        <f>IF($A34="","",IFERROR(SUMIFS('1_Compras_e_Inventario_Inicial'!$I$11:$I$510,'1_Compras_e_Inventario_Inicial'!$D$11:$D$510,$A34)/SUMIFS('1_Compras_e_Inventario_Inicial'!$G$11:$G$510,'1_Compras_e_Inventario_Inicial'!$D$11:$D$510,$A34),0))</f>
        <v/>
      </c>
      <c r="K34" s="25" t="n"/>
      <c r="L34" s="33">
        <f>IF($A34="","",$G34*$J34)</f>
        <v/>
      </c>
      <c r="M34" s="33">
        <f>IF($A34="","",$G34*$K34)</f>
        <v/>
      </c>
      <c r="N34" s="34">
        <f>IF($A34="","",IFERROR(($K34-$J34)/$K34,0))</f>
        <v/>
      </c>
    </row>
    <row r="35">
      <c r="A35" s="22" t="n"/>
      <c r="B35" s="23" t="n"/>
      <c r="C35" s="22" t="n"/>
      <c r="D35" s="24" t="n"/>
      <c r="E35" s="30">
        <f>IF($A35="","",SUMIFS('1_Compras_e_Inventario_Inicial'!$G$11:$G$510,'1_Compras_e_Inventario_Inicial'!$D$11:$D$510,$A35))</f>
        <v/>
      </c>
      <c r="F35" s="30">
        <f>IF($A35="","",SUMIFS('3_Ventas_Diarias'!$E$11:$E$610,'3_Ventas_Diarias'!$C$11:$C$610,$A35))</f>
        <v/>
      </c>
      <c r="G35" s="31">
        <f>IF($A35="","",N($D35)+N($E35)-N($F35))</f>
        <v/>
      </c>
      <c r="H35" s="24" t="n"/>
      <c r="I35" s="32">
        <f>IF($A35="","",IF($G35&lt;=0,"🔴 SIN STOCK",IF($G35&lt;=$H35,"🟠 REPONER",IF($G35&lt;=$H35*1.5,"🟡 VIGILAR","🟢 OK"))))</f>
        <v/>
      </c>
      <c r="J35" s="33">
        <f>IF($A35="","",IFERROR(SUMIFS('1_Compras_e_Inventario_Inicial'!$I$11:$I$510,'1_Compras_e_Inventario_Inicial'!$D$11:$D$510,$A35)/SUMIFS('1_Compras_e_Inventario_Inicial'!$G$11:$G$510,'1_Compras_e_Inventario_Inicial'!$D$11:$D$510,$A35),0))</f>
        <v/>
      </c>
      <c r="K35" s="25" t="n"/>
      <c r="L35" s="33">
        <f>IF($A35="","",$G35*$J35)</f>
        <v/>
      </c>
      <c r="M35" s="33">
        <f>IF($A35="","",$G35*$K35)</f>
        <v/>
      </c>
      <c r="N35" s="34">
        <f>IF($A35="","",IFERROR(($K35-$J35)/$K35,0))</f>
        <v/>
      </c>
    </row>
    <row r="36">
      <c r="A36" s="22" t="n"/>
      <c r="B36" s="23" t="n"/>
      <c r="C36" s="22" t="n"/>
      <c r="D36" s="24" t="n"/>
      <c r="E36" s="30">
        <f>IF($A36="","",SUMIFS('1_Compras_e_Inventario_Inicial'!$G$11:$G$510,'1_Compras_e_Inventario_Inicial'!$D$11:$D$510,$A36))</f>
        <v/>
      </c>
      <c r="F36" s="30">
        <f>IF($A36="","",SUMIFS('3_Ventas_Diarias'!$E$11:$E$610,'3_Ventas_Diarias'!$C$11:$C$610,$A36))</f>
        <v/>
      </c>
      <c r="G36" s="31">
        <f>IF($A36="","",N($D36)+N($E36)-N($F36))</f>
        <v/>
      </c>
      <c r="H36" s="24" t="n"/>
      <c r="I36" s="32">
        <f>IF($A36="","",IF($G36&lt;=0,"🔴 SIN STOCK",IF($G36&lt;=$H36,"🟠 REPONER",IF($G36&lt;=$H36*1.5,"🟡 VIGILAR","🟢 OK"))))</f>
        <v/>
      </c>
      <c r="J36" s="33">
        <f>IF($A36="","",IFERROR(SUMIFS('1_Compras_e_Inventario_Inicial'!$I$11:$I$510,'1_Compras_e_Inventario_Inicial'!$D$11:$D$510,$A36)/SUMIFS('1_Compras_e_Inventario_Inicial'!$G$11:$G$510,'1_Compras_e_Inventario_Inicial'!$D$11:$D$510,$A36),0))</f>
        <v/>
      </c>
      <c r="K36" s="25" t="n"/>
      <c r="L36" s="33">
        <f>IF($A36="","",$G36*$J36)</f>
        <v/>
      </c>
      <c r="M36" s="33">
        <f>IF($A36="","",$G36*$K36)</f>
        <v/>
      </c>
      <c r="N36" s="34">
        <f>IF($A36="","",IFERROR(($K36-$J36)/$K36,0))</f>
        <v/>
      </c>
    </row>
    <row r="37">
      <c r="A37" s="22" t="n"/>
      <c r="B37" s="23" t="n"/>
      <c r="C37" s="22" t="n"/>
      <c r="D37" s="24" t="n"/>
      <c r="E37" s="30">
        <f>IF($A37="","",SUMIFS('1_Compras_e_Inventario_Inicial'!$G$11:$G$510,'1_Compras_e_Inventario_Inicial'!$D$11:$D$510,$A37))</f>
        <v/>
      </c>
      <c r="F37" s="30">
        <f>IF($A37="","",SUMIFS('3_Ventas_Diarias'!$E$11:$E$610,'3_Ventas_Diarias'!$C$11:$C$610,$A37))</f>
        <v/>
      </c>
      <c r="G37" s="31">
        <f>IF($A37="","",N($D37)+N($E37)-N($F37))</f>
        <v/>
      </c>
      <c r="H37" s="24" t="n"/>
      <c r="I37" s="32">
        <f>IF($A37="","",IF($G37&lt;=0,"🔴 SIN STOCK",IF($G37&lt;=$H37,"🟠 REPONER",IF($G37&lt;=$H37*1.5,"🟡 VIGILAR","🟢 OK"))))</f>
        <v/>
      </c>
      <c r="J37" s="33">
        <f>IF($A37="","",IFERROR(SUMIFS('1_Compras_e_Inventario_Inicial'!$I$11:$I$510,'1_Compras_e_Inventario_Inicial'!$D$11:$D$510,$A37)/SUMIFS('1_Compras_e_Inventario_Inicial'!$G$11:$G$510,'1_Compras_e_Inventario_Inicial'!$D$11:$D$510,$A37),0))</f>
        <v/>
      </c>
      <c r="K37" s="25" t="n"/>
      <c r="L37" s="33">
        <f>IF($A37="","",$G37*$J37)</f>
        <v/>
      </c>
      <c r="M37" s="33">
        <f>IF($A37="","",$G37*$K37)</f>
        <v/>
      </c>
      <c r="N37" s="34">
        <f>IF($A37="","",IFERROR(($K37-$J37)/$K37,0))</f>
        <v/>
      </c>
    </row>
    <row r="38">
      <c r="A38" s="22" t="n"/>
      <c r="B38" s="23" t="n"/>
      <c r="C38" s="22" t="n"/>
      <c r="D38" s="24" t="n"/>
      <c r="E38" s="30">
        <f>IF($A38="","",SUMIFS('1_Compras_e_Inventario_Inicial'!$G$11:$G$510,'1_Compras_e_Inventario_Inicial'!$D$11:$D$510,$A38))</f>
        <v/>
      </c>
      <c r="F38" s="30">
        <f>IF($A38="","",SUMIFS('3_Ventas_Diarias'!$E$11:$E$610,'3_Ventas_Diarias'!$C$11:$C$610,$A38))</f>
        <v/>
      </c>
      <c r="G38" s="31">
        <f>IF($A38="","",N($D38)+N($E38)-N($F38))</f>
        <v/>
      </c>
      <c r="H38" s="24" t="n"/>
      <c r="I38" s="32">
        <f>IF($A38="","",IF($G38&lt;=0,"🔴 SIN STOCK",IF($G38&lt;=$H38,"🟠 REPONER",IF($G38&lt;=$H38*1.5,"🟡 VIGILAR","🟢 OK"))))</f>
        <v/>
      </c>
      <c r="J38" s="33">
        <f>IF($A38="","",IFERROR(SUMIFS('1_Compras_e_Inventario_Inicial'!$I$11:$I$510,'1_Compras_e_Inventario_Inicial'!$D$11:$D$510,$A38)/SUMIFS('1_Compras_e_Inventario_Inicial'!$G$11:$G$510,'1_Compras_e_Inventario_Inicial'!$D$11:$D$510,$A38),0))</f>
        <v/>
      </c>
      <c r="K38" s="25" t="n"/>
      <c r="L38" s="33">
        <f>IF($A38="","",$G38*$J38)</f>
        <v/>
      </c>
      <c r="M38" s="33">
        <f>IF($A38="","",$G38*$K38)</f>
        <v/>
      </c>
      <c r="N38" s="34">
        <f>IF($A38="","",IFERROR(($K38-$J38)/$K38,0))</f>
        <v/>
      </c>
    </row>
    <row r="39">
      <c r="A39" s="22" t="n"/>
      <c r="B39" s="23" t="n"/>
      <c r="C39" s="22" t="n"/>
      <c r="D39" s="24" t="n"/>
      <c r="E39" s="30">
        <f>IF($A39="","",SUMIFS('1_Compras_e_Inventario_Inicial'!$G$11:$G$510,'1_Compras_e_Inventario_Inicial'!$D$11:$D$510,$A39))</f>
        <v/>
      </c>
      <c r="F39" s="30">
        <f>IF($A39="","",SUMIFS('3_Ventas_Diarias'!$E$11:$E$610,'3_Ventas_Diarias'!$C$11:$C$610,$A39))</f>
        <v/>
      </c>
      <c r="G39" s="31">
        <f>IF($A39="","",N($D39)+N($E39)-N($F39))</f>
        <v/>
      </c>
      <c r="H39" s="24" t="n"/>
      <c r="I39" s="32">
        <f>IF($A39="","",IF($G39&lt;=0,"🔴 SIN STOCK",IF($G39&lt;=$H39,"🟠 REPONER",IF($G39&lt;=$H39*1.5,"🟡 VIGILAR","🟢 OK"))))</f>
        <v/>
      </c>
      <c r="J39" s="33">
        <f>IF($A39="","",IFERROR(SUMIFS('1_Compras_e_Inventario_Inicial'!$I$11:$I$510,'1_Compras_e_Inventario_Inicial'!$D$11:$D$510,$A39)/SUMIFS('1_Compras_e_Inventario_Inicial'!$G$11:$G$510,'1_Compras_e_Inventario_Inicial'!$D$11:$D$510,$A39),0))</f>
        <v/>
      </c>
      <c r="K39" s="25" t="n"/>
      <c r="L39" s="33">
        <f>IF($A39="","",$G39*$J39)</f>
        <v/>
      </c>
      <c r="M39" s="33">
        <f>IF($A39="","",$G39*$K39)</f>
        <v/>
      </c>
      <c r="N39" s="34">
        <f>IF($A39="","",IFERROR(($K39-$J39)/$K39,0))</f>
        <v/>
      </c>
    </row>
    <row r="40">
      <c r="A40" s="22" t="n"/>
      <c r="B40" s="23" t="n"/>
      <c r="C40" s="22" t="n"/>
      <c r="D40" s="24" t="n"/>
      <c r="E40" s="30">
        <f>IF($A40="","",SUMIFS('1_Compras_e_Inventario_Inicial'!$G$11:$G$510,'1_Compras_e_Inventario_Inicial'!$D$11:$D$510,$A40))</f>
        <v/>
      </c>
      <c r="F40" s="30">
        <f>IF($A40="","",SUMIFS('3_Ventas_Diarias'!$E$11:$E$610,'3_Ventas_Diarias'!$C$11:$C$610,$A40))</f>
        <v/>
      </c>
      <c r="G40" s="31">
        <f>IF($A40="","",N($D40)+N($E40)-N($F40))</f>
        <v/>
      </c>
      <c r="H40" s="24" t="n"/>
      <c r="I40" s="32">
        <f>IF($A40="","",IF($G40&lt;=0,"🔴 SIN STOCK",IF($G40&lt;=$H40,"🟠 REPONER",IF($G40&lt;=$H40*1.5,"🟡 VIGILAR","🟢 OK"))))</f>
        <v/>
      </c>
      <c r="J40" s="33">
        <f>IF($A40="","",IFERROR(SUMIFS('1_Compras_e_Inventario_Inicial'!$I$11:$I$510,'1_Compras_e_Inventario_Inicial'!$D$11:$D$510,$A40)/SUMIFS('1_Compras_e_Inventario_Inicial'!$G$11:$G$510,'1_Compras_e_Inventario_Inicial'!$D$11:$D$510,$A40),0))</f>
        <v/>
      </c>
      <c r="K40" s="25" t="n"/>
      <c r="L40" s="33">
        <f>IF($A40="","",$G40*$J40)</f>
        <v/>
      </c>
      <c r="M40" s="33">
        <f>IF($A40="","",$G40*$K40)</f>
        <v/>
      </c>
      <c r="N40" s="34">
        <f>IF($A40="","",IFERROR(($K40-$J40)/$K40,0))</f>
        <v/>
      </c>
    </row>
    <row r="41">
      <c r="A41" s="22" t="n"/>
      <c r="B41" s="23" t="n"/>
      <c r="C41" s="22" t="n"/>
      <c r="D41" s="24" t="n"/>
      <c r="E41" s="30">
        <f>IF($A41="","",SUMIFS('1_Compras_e_Inventario_Inicial'!$G$11:$G$510,'1_Compras_e_Inventario_Inicial'!$D$11:$D$510,$A41))</f>
        <v/>
      </c>
      <c r="F41" s="30">
        <f>IF($A41="","",SUMIFS('3_Ventas_Diarias'!$E$11:$E$610,'3_Ventas_Diarias'!$C$11:$C$610,$A41))</f>
        <v/>
      </c>
      <c r="G41" s="31">
        <f>IF($A41="","",N($D41)+N($E41)-N($F41))</f>
        <v/>
      </c>
      <c r="H41" s="24" t="n"/>
      <c r="I41" s="32">
        <f>IF($A41="","",IF($G41&lt;=0,"🔴 SIN STOCK",IF($G41&lt;=$H41,"🟠 REPONER",IF($G41&lt;=$H41*1.5,"🟡 VIGILAR","🟢 OK"))))</f>
        <v/>
      </c>
      <c r="J41" s="33">
        <f>IF($A41="","",IFERROR(SUMIFS('1_Compras_e_Inventario_Inicial'!$I$11:$I$510,'1_Compras_e_Inventario_Inicial'!$D$11:$D$510,$A41)/SUMIFS('1_Compras_e_Inventario_Inicial'!$G$11:$G$510,'1_Compras_e_Inventario_Inicial'!$D$11:$D$510,$A41),0))</f>
        <v/>
      </c>
      <c r="K41" s="25" t="n"/>
      <c r="L41" s="33">
        <f>IF($A41="","",$G41*$J41)</f>
        <v/>
      </c>
      <c r="M41" s="33">
        <f>IF($A41="","",$G41*$K41)</f>
        <v/>
      </c>
      <c r="N41" s="34">
        <f>IF($A41="","",IFERROR(($K41-$J41)/$K41,0))</f>
        <v/>
      </c>
    </row>
    <row r="42">
      <c r="A42" s="22" t="n"/>
      <c r="B42" s="23" t="n"/>
      <c r="C42" s="22" t="n"/>
      <c r="D42" s="24" t="n"/>
      <c r="E42" s="30">
        <f>IF($A42="","",SUMIFS('1_Compras_e_Inventario_Inicial'!$G$11:$G$510,'1_Compras_e_Inventario_Inicial'!$D$11:$D$510,$A42))</f>
        <v/>
      </c>
      <c r="F42" s="30">
        <f>IF($A42="","",SUMIFS('3_Ventas_Diarias'!$E$11:$E$610,'3_Ventas_Diarias'!$C$11:$C$610,$A42))</f>
        <v/>
      </c>
      <c r="G42" s="31">
        <f>IF($A42="","",N($D42)+N($E42)-N($F42))</f>
        <v/>
      </c>
      <c r="H42" s="24" t="n"/>
      <c r="I42" s="32">
        <f>IF($A42="","",IF($G42&lt;=0,"🔴 SIN STOCK",IF($G42&lt;=$H42,"🟠 REPONER",IF($G42&lt;=$H42*1.5,"🟡 VIGILAR","🟢 OK"))))</f>
        <v/>
      </c>
      <c r="J42" s="33">
        <f>IF($A42="","",IFERROR(SUMIFS('1_Compras_e_Inventario_Inicial'!$I$11:$I$510,'1_Compras_e_Inventario_Inicial'!$D$11:$D$510,$A42)/SUMIFS('1_Compras_e_Inventario_Inicial'!$G$11:$G$510,'1_Compras_e_Inventario_Inicial'!$D$11:$D$510,$A42),0))</f>
        <v/>
      </c>
      <c r="K42" s="25" t="n"/>
      <c r="L42" s="33">
        <f>IF($A42="","",$G42*$J42)</f>
        <v/>
      </c>
      <c r="M42" s="33">
        <f>IF($A42="","",$G42*$K42)</f>
        <v/>
      </c>
      <c r="N42" s="34">
        <f>IF($A42="","",IFERROR(($K42-$J42)/$K42,0))</f>
        <v/>
      </c>
    </row>
    <row r="43">
      <c r="A43" s="22" t="n"/>
      <c r="B43" s="23" t="n"/>
      <c r="C43" s="22" t="n"/>
      <c r="D43" s="24" t="n"/>
      <c r="E43" s="30">
        <f>IF($A43="","",SUMIFS('1_Compras_e_Inventario_Inicial'!$G$11:$G$510,'1_Compras_e_Inventario_Inicial'!$D$11:$D$510,$A43))</f>
        <v/>
      </c>
      <c r="F43" s="30">
        <f>IF($A43="","",SUMIFS('3_Ventas_Diarias'!$E$11:$E$610,'3_Ventas_Diarias'!$C$11:$C$610,$A43))</f>
        <v/>
      </c>
      <c r="G43" s="31">
        <f>IF($A43="","",N($D43)+N($E43)-N($F43))</f>
        <v/>
      </c>
      <c r="H43" s="24" t="n"/>
      <c r="I43" s="32">
        <f>IF($A43="","",IF($G43&lt;=0,"🔴 SIN STOCK",IF($G43&lt;=$H43,"🟠 REPONER",IF($G43&lt;=$H43*1.5,"🟡 VIGILAR","🟢 OK"))))</f>
        <v/>
      </c>
      <c r="J43" s="33">
        <f>IF($A43="","",IFERROR(SUMIFS('1_Compras_e_Inventario_Inicial'!$I$11:$I$510,'1_Compras_e_Inventario_Inicial'!$D$11:$D$510,$A43)/SUMIFS('1_Compras_e_Inventario_Inicial'!$G$11:$G$510,'1_Compras_e_Inventario_Inicial'!$D$11:$D$510,$A43),0))</f>
        <v/>
      </c>
      <c r="K43" s="25" t="n"/>
      <c r="L43" s="33">
        <f>IF($A43="","",$G43*$J43)</f>
        <v/>
      </c>
      <c r="M43" s="33">
        <f>IF($A43="","",$G43*$K43)</f>
        <v/>
      </c>
      <c r="N43" s="34">
        <f>IF($A43="","",IFERROR(($K43-$J43)/$K43,0))</f>
        <v/>
      </c>
    </row>
    <row r="44">
      <c r="A44" s="22" t="n"/>
      <c r="B44" s="23" t="n"/>
      <c r="C44" s="22" t="n"/>
      <c r="D44" s="24" t="n"/>
      <c r="E44" s="30">
        <f>IF($A44="","",SUMIFS('1_Compras_e_Inventario_Inicial'!$G$11:$G$510,'1_Compras_e_Inventario_Inicial'!$D$11:$D$510,$A44))</f>
        <v/>
      </c>
      <c r="F44" s="30">
        <f>IF($A44="","",SUMIFS('3_Ventas_Diarias'!$E$11:$E$610,'3_Ventas_Diarias'!$C$11:$C$610,$A44))</f>
        <v/>
      </c>
      <c r="G44" s="31">
        <f>IF($A44="","",N($D44)+N($E44)-N($F44))</f>
        <v/>
      </c>
      <c r="H44" s="24" t="n"/>
      <c r="I44" s="32">
        <f>IF($A44="","",IF($G44&lt;=0,"🔴 SIN STOCK",IF($G44&lt;=$H44,"🟠 REPONER",IF($G44&lt;=$H44*1.5,"🟡 VIGILAR","🟢 OK"))))</f>
        <v/>
      </c>
      <c r="J44" s="33">
        <f>IF($A44="","",IFERROR(SUMIFS('1_Compras_e_Inventario_Inicial'!$I$11:$I$510,'1_Compras_e_Inventario_Inicial'!$D$11:$D$510,$A44)/SUMIFS('1_Compras_e_Inventario_Inicial'!$G$11:$G$510,'1_Compras_e_Inventario_Inicial'!$D$11:$D$510,$A44),0))</f>
        <v/>
      </c>
      <c r="K44" s="25" t="n"/>
      <c r="L44" s="33">
        <f>IF($A44="","",$G44*$J44)</f>
        <v/>
      </c>
      <c r="M44" s="33">
        <f>IF($A44="","",$G44*$K44)</f>
        <v/>
      </c>
      <c r="N44" s="34">
        <f>IF($A44="","",IFERROR(($K44-$J44)/$K44,0))</f>
        <v/>
      </c>
    </row>
    <row r="45">
      <c r="A45" s="22" t="n"/>
      <c r="B45" s="23" t="n"/>
      <c r="C45" s="22" t="n"/>
      <c r="D45" s="24" t="n"/>
      <c r="E45" s="30">
        <f>IF($A45="","",SUMIFS('1_Compras_e_Inventario_Inicial'!$G$11:$G$510,'1_Compras_e_Inventario_Inicial'!$D$11:$D$510,$A45))</f>
        <v/>
      </c>
      <c r="F45" s="30">
        <f>IF($A45="","",SUMIFS('3_Ventas_Diarias'!$E$11:$E$610,'3_Ventas_Diarias'!$C$11:$C$610,$A45))</f>
        <v/>
      </c>
      <c r="G45" s="31">
        <f>IF($A45="","",N($D45)+N($E45)-N($F45))</f>
        <v/>
      </c>
      <c r="H45" s="24" t="n"/>
      <c r="I45" s="32">
        <f>IF($A45="","",IF($G45&lt;=0,"🔴 SIN STOCK",IF($G45&lt;=$H45,"🟠 REPONER",IF($G45&lt;=$H45*1.5,"🟡 VIGILAR","🟢 OK"))))</f>
        <v/>
      </c>
      <c r="J45" s="33">
        <f>IF($A45="","",IFERROR(SUMIFS('1_Compras_e_Inventario_Inicial'!$I$11:$I$510,'1_Compras_e_Inventario_Inicial'!$D$11:$D$510,$A45)/SUMIFS('1_Compras_e_Inventario_Inicial'!$G$11:$G$510,'1_Compras_e_Inventario_Inicial'!$D$11:$D$510,$A45),0))</f>
        <v/>
      </c>
      <c r="K45" s="25" t="n"/>
      <c r="L45" s="33">
        <f>IF($A45="","",$G45*$J45)</f>
        <v/>
      </c>
      <c r="M45" s="33">
        <f>IF($A45="","",$G45*$K45)</f>
        <v/>
      </c>
      <c r="N45" s="34">
        <f>IF($A45="","",IFERROR(($K45-$J45)/$K45,0))</f>
        <v/>
      </c>
    </row>
    <row r="46">
      <c r="A46" s="22" t="n"/>
      <c r="B46" s="23" t="n"/>
      <c r="C46" s="22" t="n"/>
      <c r="D46" s="24" t="n"/>
      <c r="E46" s="30">
        <f>IF($A46="","",SUMIFS('1_Compras_e_Inventario_Inicial'!$G$11:$G$510,'1_Compras_e_Inventario_Inicial'!$D$11:$D$510,$A46))</f>
        <v/>
      </c>
      <c r="F46" s="30">
        <f>IF($A46="","",SUMIFS('3_Ventas_Diarias'!$E$11:$E$610,'3_Ventas_Diarias'!$C$11:$C$610,$A46))</f>
        <v/>
      </c>
      <c r="G46" s="31">
        <f>IF($A46="","",N($D46)+N($E46)-N($F46))</f>
        <v/>
      </c>
      <c r="H46" s="24" t="n"/>
      <c r="I46" s="32">
        <f>IF($A46="","",IF($G46&lt;=0,"🔴 SIN STOCK",IF($G46&lt;=$H46,"🟠 REPONER",IF($G46&lt;=$H46*1.5,"🟡 VIGILAR","🟢 OK"))))</f>
        <v/>
      </c>
      <c r="J46" s="33">
        <f>IF($A46="","",IFERROR(SUMIFS('1_Compras_e_Inventario_Inicial'!$I$11:$I$510,'1_Compras_e_Inventario_Inicial'!$D$11:$D$510,$A46)/SUMIFS('1_Compras_e_Inventario_Inicial'!$G$11:$G$510,'1_Compras_e_Inventario_Inicial'!$D$11:$D$510,$A46),0))</f>
        <v/>
      </c>
      <c r="K46" s="25" t="n"/>
      <c r="L46" s="33">
        <f>IF($A46="","",$G46*$J46)</f>
        <v/>
      </c>
      <c r="M46" s="33">
        <f>IF($A46="","",$G46*$K46)</f>
        <v/>
      </c>
      <c r="N46" s="34">
        <f>IF($A46="","",IFERROR(($K46-$J46)/$K46,0))</f>
        <v/>
      </c>
    </row>
    <row r="47">
      <c r="A47" s="22" t="n"/>
      <c r="B47" s="23" t="n"/>
      <c r="C47" s="22" t="n"/>
      <c r="D47" s="24" t="n"/>
      <c r="E47" s="30">
        <f>IF($A47="","",SUMIFS('1_Compras_e_Inventario_Inicial'!$G$11:$G$510,'1_Compras_e_Inventario_Inicial'!$D$11:$D$510,$A47))</f>
        <v/>
      </c>
      <c r="F47" s="30">
        <f>IF($A47="","",SUMIFS('3_Ventas_Diarias'!$E$11:$E$610,'3_Ventas_Diarias'!$C$11:$C$610,$A47))</f>
        <v/>
      </c>
      <c r="G47" s="31">
        <f>IF($A47="","",N($D47)+N($E47)-N($F47))</f>
        <v/>
      </c>
      <c r="H47" s="24" t="n"/>
      <c r="I47" s="32">
        <f>IF($A47="","",IF($G47&lt;=0,"🔴 SIN STOCK",IF($G47&lt;=$H47,"🟠 REPONER",IF($G47&lt;=$H47*1.5,"🟡 VIGILAR","🟢 OK"))))</f>
        <v/>
      </c>
      <c r="J47" s="33">
        <f>IF($A47="","",IFERROR(SUMIFS('1_Compras_e_Inventario_Inicial'!$I$11:$I$510,'1_Compras_e_Inventario_Inicial'!$D$11:$D$510,$A47)/SUMIFS('1_Compras_e_Inventario_Inicial'!$G$11:$G$510,'1_Compras_e_Inventario_Inicial'!$D$11:$D$510,$A47),0))</f>
        <v/>
      </c>
      <c r="K47" s="25" t="n"/>
      <c r="L47" s="33">
        <f>IF($A47="","",$G47*$J47)</f>
        <v/>
      </c>
      <c r="M47" s="33">
        <f>IF($A47="","",$G47*$K47)</f>
        <v/>
      </c>
      <c r="N47" s="34">
        <f>IF($A47="","",IFERROR(($K47-$J47)/$K47,0))</f>
        <v/>
      </c>
    </row>
    <row r="48">
      <c r="A48" s="22" t="n"/>
      <c r="B48" s="23" t="n"/>
      <c r="C48" s="22" t="n"/>
      <c r="D48" s="24" t="n"/>
      <c r="E48" s="30">
        <f>IF($A48="","",SUMIFS('1_Compras_e_Inventario_Inicial'!$G$11:$G$510,'1_Compras_e_Inventario_Inicial'!$D$11:$D$510,$A48))</f>
        <v/>
      </c>
      <c r="F48" s="30">
        <f>IF($A48="","",SUMIFS('3_Ventas_Diarias'!$E$11:$E$610,'3_Ventas_Diarias'!$C$11:$C$610,$A48))</f>
        <v/>
      </c>
      <c r="G48" s="31">
        <f>IF($A48="","",N($D48)+N($E48)-N($F48))</f>
        <v/>
      </c>
      <c r="H48" s="24" t="n"/>
      <c r="I48" s="32">
        <f>IF($A48="","",IF($G48&lt;=0,"🔴 SIN STOCK",IF($G48&lt;=$H48,"🟠 REPONER",IF($G48&lt;=$H48*1.5,"🟡 VIGILAR","🟢 OK"))))</f>
        <v/>
      </c>
      <c r="J48" s="33">
        <f>IF($A48="","",IFERROR(SUMIFS('1_Compras_e_Inventario_Inicial'!$I$11:$I$510,'1_Compras_e_Inventario_Inicial'!$D$11:$D$510,$A48)/SUMIFS('1_Compras_e_Inventario_Inicial'!$G$11:$G$510,'1_Compras_e_Inventario_Inicial'!$D$11:$D$510,$A48),0))</f>
        <v/>
      </c>
      <c r="K48" s="25" t="n"/>
      <c r="L48" s="33">
        <f>IF($A48="","",$G48*$J48)</f>
        <v/>
      </c>
      <c r="M48" s="33">
        <f>IF($A48="","",$G48*$K48)</f>
        <v/>
      </c>
      <c r="N48" s="34">
        <f>IF($A48="","",IFERROR(($K48-$J48)/$K48,0))</f>
        <v/>
      </c>
    </row>
    <row r="49">
      <c r="A49" s="22" t="n"/>
      <c r="B49" s="23" t="n"/>
      <c r="C49" s="22" t="n"/>
      <c r="D49" s="24" t="n"/>
      <c r="E49" s="30">
        <f>IF($A49="","",SUMIFS('1_Compras_e_Inventario_Inicial'!$G$11:$G$510,'1_Compras_e_Inventario_Inicial'!$D$11:$D$510,$A49))</f>
        <v/>
      </c>
      <c r="F49" s="30">
        <f>IF($A49="","",SUMIFS('3_Ventas_Diarias'!$E$11:$E$610,'3_Ventas_Diarias'!$C$11:$C$610,$A49))</f>
        <v/>
      </c>
      <c r="G49" s="31">
        <f>IF($A49="","",N($D49)+N($E49)-N($F49))</f>
        <v/>
      </c>
      <c r="H49" s="24" t="n"/>
      <c r="I49" s="32">
        <f>IF($A49="","",IF($G49&lt;=0,"🔴 SIN STOCK",IF($G49&lt;=$H49,"🟠 REPONER",IF($G49&lt;=$H49*1.5,"🟡 VIGILAR","🟢 OK"))))</f>
        <v/>
      </c>
      <c r="J49" s="33">
        <f>IF($A49="","",IFERROR(SUMIFS('1_Compras_e_Inventario_Inicial'!$I$11:$I$510,'1_Compras_e_Inventario_Inicial'!$D$11:$D$510,$A49)/SUMIFS('1_Compras_e_Inventario_Inicial'!$G$11:$G$510,'1_Compras_e_Inventario_Inicial'!$D$11:$D$510,$A49),0))</f>
        <v/>
      </c>
      <c r="K49" s="25" t="n"/>
      <c r="L49" s="33">
        <f>IF($A49="","",$G49*$J49)</f>
        <v/>
      </c>
      <c r="M49" s="33">
        <f>IF($A49="","",$G49*$K49)</f>
        <v/>
      </c>
      <c r="N49" s="34">
        <f>IF($A49="","",IFERROR(($K49-$J49)/$K49,0))</f>
        <v/>
      </c>
    </row>
    <row r="50">
      <c r="A50" s="22" t="n"/>
      <c r="B50" s="23" t="n"/>
      <c r="C50" s="22" t="n"/>
      <c r="D50" s="24" t="n"/>
      <c r="E50" s="30">
        <f>IF($A50="","",SUMIFS('1_Compras_e_Inventario_Inicial'!$G$11:$G$510,'1_Compras_e_Inventario_Inicial'!$D$11:$D$510,$A50))</f>
        <v/>
      </c>
      <c r="F50" s="30">
        <f>IF($A50="","",SUMIFS('3_Ventas_Diarias'!$E$11:$E$610,'3_Ventas_Diarias'!$C$11:$C$610,$A50))</f>
        <v/>
      </c>
      <c r="G50" s="31">
        <f>IF($A50="","",N($D50)+N($E50)-N($F50))</f>
        <v/>
      </c>
      <c r="H50" s="24" t="n"/>
      <c r="I50" s="32">
        <f>IF($A50="","",IF($G50&lt;=0,"🔴 SIN STOCK",IF($G50&lt;=$H50,"🟠 REPONER",IF($G50&lt;=$H50*1.5,"🟡 VIGILAR","🟢 OK"))))</f>
        <v/>
      </c>
      <c r="J50" s="33">
        <f>IF($A50="","",IFERROR(SUMIFS('1_Compras_e_Inventario_Inicial'!$I$11:$I$510,'1_Compras_e_Inventario_Inicial'!$D$11:$D$510,$A50)/SUMIFS('1_Compras_e_Inventario_Inicial'!$G$11:$G$510,'1_Compras_e_Inventario_Inicial'!$D$11:$D$510,$A50),0))</f>
        <v/>
      </c>
      <c r="K50" s="25" t="n"/>
      <c r="L50" s="33">
        <f>IF($A50="","",$G50*$J50)</f>
        <v/>
      </c>
      <c r="M50" s="33">
        <f>IF($A50="","",$G50*$K50)</f>
        <v/>
      </c>
      <c r="N50" s="34">
        <f>IF($A50="","",IFERROR(($K50-$J50)/$K50,0))</f>
        <v/>
      </c>
    </row>
    <row r="51">
      <c r="A51" s="22" t="n"/>
      <c r="B51" s="23" t="n"/>
      <c r="C51" s="22" t="n"/>
      <c r="D51" s="24" t="n"/>
      <c r="E51" s="30">
        <f>IF($A51="","",SUMIFS('1_Compras_e_Inventario_Inicial'!$G$11:$G$510,'1_Compras_e_Inventario_Inicial'!$D$11:$D$510,$A51))</f>
        <v/>
      </c>
      <c r="F51" s="30">
        <f>IF($A51="","",SUMIFS('3_Ventas_Diarias'!$E$11:$E$610,'3_Ventas_Diarias'!$C$11:$C$610,$A51))</f>
        <v/>
      </c>
      <c r="G51" s="31">
        <f>IF($A51="","",N($D51)+N($E51)-N($F51))</f>
        <v/>
      </c>
      <c r="H51" s="24" t="n"/>
      <c r="I51" s="32">
        <f>IF($A51="","",IF($G51&lt;=0,"🔴 SIN STOCK",IF($G51&lt;=$H51,"🟠 REPONER",IF($G51&lt;=$H51*1.5,"🟡 VIGILAR","🟢 OK"))))</f>
        <v/>
      </c>
      <c r="J51" s="33">
        <f>IF($A51="","",IFERROR(SUMIFS('1_Compras_e_Inventario_Inicial'!$I$11:$I$510,'1_Compras_e_Inventario_Inicial'!$D$11:$D$510,$A51)/SUMIFS('1_Compras_e_Inventario_Inicial'!$G$11:$G$510,'1_Compras_e_Inventario_Inicial'!$D$11:$D$510,$A51),0))</f>
        <v/>
      </c>
      <c r="K51" s="25" t="n"/>
      <c r="L51" s="33">
        <f>IF($A51="","",$G51*$J51)</f>
        <v/>
      </c>
      <c r="M51" s="33">
        <f>IF($A51="","",$G51*$K51)</f>
        <v/>
      </c>
      <c r="N51" s="34">
        <f>IF($A51="","",IFERROR(($K51-$J51)/$K51,0))</f>
        <v/>
      </c>
    </row>
    <row r="52">
      <c r="A52" s="22" t="n"/>
      <c r="B52" s="23" t="n"/>
      <c r="C52" s="22" t="n"/>
      <c r="D52" s="24" t="n"/>
      <c r="E52" s="30">
        <f>IF($A52="","",SUMIFS('1_Compras_e_Inventario_Inicial'!$G$11:$G$510,'1_Compras_e_Inventario_Inicial'!$D$11:$D$510,$A52))</f>
        <v/>
      </c>
      <c r="F52" s="30">
        <f>IF($A52="","",SUMIFS('3_Ventas_Diarias'!$E$11:$E$610,'3_Ventas_Diarias'!$C$11:$C$610,$A52))</f>
        <v/>
      </c>
      <c r="G52" s="31">
        <f>IF($A52="","",N($D52)+N($E52)-N($F52))</f>
        <v/>
      </c>
      <c r="H52" s="24" t="n"/>
      <c r="I52" s="32">
        <f>IF($A52="","",IF($G52&lt;=0,"🔴 SIN STOCK",IF($G52&lt;=$H52,"🟠 REPONER",IF($G52&lt;=$H52*1.5,"🟡 VIGILAR","🟢 OK"))))</f>
        <v/>
      </c>
      <c r="J52" s="33">
        <f>IF($A52="","",IFERROR(SUMIFS('1_Compras_e_Inventario_Inicial'!$I$11:$I$510,'1_Compras_e_Inventario_Inicial'!$D$11:$D$510,$A52)/SUMIFS('1_Compras_e_Inventario_Inicial'!$G$11:$G$510,'1_Compras_e_Inventario_Inicial'!$D$11:$D$510,$A52),0))</f>
        <v/>
      </c>
      <c r="K52" s="25" t="n"/>
      <c r="L52" s="33">
        <f>IF($A52="","",$G52*$J52)</f>
        <v/>
      </c>
      <c r="M52" s="33">
        <f>IF($A52="","",$G52*$K52)</f>
        <v/>
      </c>
      <c r="N52" s="34">
        <f>IF($A52="","",IFERROR(($K52-$J52)/$K52,0))</f>
        <v/>
      </c>
    </row>
    <row r="53">
      <c r="A53" s="22" t="n"/>
      <c r="B53" s="23" t="n"/>
      <c r="C53" s="22" t="n"/>
      <c r="D53" s="24" t="n"/>
      <c r="E53" s="30">
        <f>IF($A53="","",SUMIFS('1_Compras_e_Inventario_Inicial'!$G$11:$G$510,'1_Compras_e_Inventario_Inicial'!$D$11:$D$510,$A53))</f>
        <v/>
      </c>
      <c r="F53" s="30">
        <f>IF($A53="","",SUMIFS('3_Ventas_Diarias'!$E$11:$E$610,'3_Ventas_Diarias'!$C$11:$C$610,$A53))</f>
        <v/>
      </c>
      <c r="G53" s="31">
        <f>IF($A53="","",N($D53)+N($E53)-N($F53))</f>
        <v/>
      </c>
      <c r="H53" s="24" t="n"/>
      <c r="I53" s="32">
        <f>IF($A53="","",IF($G53&lt;=0,"🔴 SIN STOCK",IF($G53&lt;=$H53,"🟠 REPONER",IF($G53&lt;=$H53*1.5,"🟡 VIGILAR","🟢 OK"))))</f>
        <v/>
      </c>
      <c r="J53" s="33">
        <f>IF($A53="","",IFERROR(SUMIFS('1_Compras_e_Inventario_Inicial'!$I$11:$I$510,'1_Compras_e_Inventario_Inicial'!$D$11:$D$510,$A53)/SUMIFS('1_Compras_e_Inventario_Inicial'!$G$11:$G$510,'1_Compras_e_Inventario_Inicial'!$D$11:$D$510,$A53),0))</f>
        <v/>
      </c>
      <c r="K53" s="25" t="n"/>
      <c r="L53" s="33">
        <f>IF($A53="","",$G53*$J53)</f>
        <v/>
      </c>
      <c r="M53" s="33">
        <f>IF($A53="","",$G53*$K53)</f>
        <v/>
      </c>
      <c r="N53" s="34">
        <f>IF($A53="","",IFERROR(($K53-$J53)/$K53,0))</f>
        <v/>
      </c>
    </row>
    <row r="54">
      <c r="A54" s="22" t="n"/>
      <c r="B54" s="23" t="n"/>
      <c r="C54" s="22" t="n"/>
      <c r="D54" s="24" t="n"/>
      <c r="E54" s="30">
        <f>IF($A54="","",SUMIFS('1_Compras_e_Inventario_Inicial'!$G$11:$G$510,'1_Compras_e_Inventario_Inicial'!$D$11:$D$510,$A54))</f>
        <v/>
      </c>
      <c r="F54" s="30">
        <f>IF($A54="","",SUMIFS('3_Ventas_Diarias'!$E$11:$E$610,'3_Ventas_Diarias'!$C$11:$C$610,$A54))</f>
        <v/>
      </c>
      <c r="G54" s="31">
        <f>IF($A54="","",N($D54)+N($E54)-N($F54))</f>
        <v/>
      </c>
      <c r="H54" s="24" t="n"/>
      <c r="I54" s="32">
        <f>IF($A54="","",IF($G54&lt;=0,"🔴 SIN STOCK",IF($G54&lt;=$H54,"🟠 REPONER",IF($G54&lt;=$H54*1.5,"🟡 VIGILAR","🟢 OK"))))</f>
        <v/>
      </c>
      <c r="J54" s="33">
        <f>IF($A54="","",IFERROR(SUMIFS('1_Compras_e_Inventario_Inicial'!$I$11:$I$510,'1_Compras_e_Inventario_Inicial'!$D$11:$D$510,$A54)/SUMIFS('1_Compras_e_Inventario_Inicial'!$G$11:$G$510,'1_Compras_e_Inventario_Inicial'!$D$11:$D$510,$A54),0))</f>
        <v/>
      </c>
      <c r="K54" s="25" t="n"/>
      <c r="L54" s="33">
        <f>IF($A54="","",$G54*$J54)</f>
        <v/>
      </c>
      <c r="M54" s="33">
        <f>IF($A54="","",$G54*$K54)</f>
        <v/>
      </c>
      <c r="N54" s="34">
        <f>IF($A54="","",IFERROR(($K54-$J54)/$K54,0))</f>
        <v/>
      </c>
    </row>
    <row r="55">
      <c r="A55" s="22" t="n"/>
      <c r="B55" s="23" t="n"/>
      <c r="C55" s="22" t="n"/>
      <c r="D55" s="24" t="n"/>
      <c r="E55" s="30">
        <f>IF($A55="","",SUMIFS('1_Compras_e_Inventario_Inicial'!$G$11:$G$510,'1_Compras_e_Inventario_Inicial'!$D$11:$D$510,$A55))</f>
        <v/>
      </c>
      <c r="F55" s="30">
        <f>IF($A55="","",SUMIFS('3_Ventas_Diarias'!$E$11:$E$610,'3_Ventas_Diarias'!$C$11:$C$610,$A55))</f>
        <v/>
      </c>
      <c r="G55" s="31">
        <f>IF($A55="","",N($D55)+N($E55)-N($F55))</f>
        <v/>
      </c>
      <c r="H55" s="24" t="n"/>
      <c r="I55" s="32">
        <f>IF($A55="","",IF($G55&lt;=0,"🔴 SIN STOCK",IF($G55&lt;=$H55,"🟠 REPONER",IF($G55&lt;=$H55*1.5,"🟡 VIGILAR","🟢 OK"))))</f>
        <v/>
      </c>
      <c r="J55" s="33">
        <f>IF($A55="","",IFERROR(SUMIFS('1_Compras_e_Inventario_Inicial'!$I$11:$I$510,'1_Compras_e_Inventario_Inicial'!$D$11:$D$510,$A55)/SUMIFS('1_Compras_e_Inventario_Inicial'!$G$11:$G$510,'1_Compras_e_Inventario_Inicial'!$D$11:$D$510,$A55),0))</f>
        <v/>
      </c>
      <c r="K55" s="25" t="n"/>
      <c r="L55" s="33">
        <f>IF($A55="","",$G55*$J55)</f>
        <v/>
      </c>
      <c r="M55" s="33">
        <f>IF($A55="","",$G55*$K55)</f>
        <v/>
      </c>
      <c r="N55" s="34">
        <f>IF($A55="","",IFERROR(($K55-$J55)/$K55,0))</f>
        <v/>
      </c>
    </row>
    <row r="56">
      <c r="A56" s="22" t="n"/>
      <c r="B56" s="23" t="n"/>
      <c r="C56" s="22" t="n"/>
      <c r="D56" s="24" t="n"/>
      <c r="E56" s="30">
        <f>IF($A56="","",SUMIFS('1_Compras_e_Inventario_Inicial'!$G$11:$G$510,'1_Compras_e_Inventario_Inicial'!$D$11:$D$510,$A56))</f>
        <v/>
      </c>
      <c r="F56" s="30">
        <f>IF($A56="","",SUMIFS('3_Ventas_Diarias'!$E$11:$E$610,'3_Ventas_Diarias'!$C$11:$C$610,$A56))</f>
        <v/>
      </c>
      <c r="G56" s="31">
        <f>IF($A56="","",N($D56)+N($E56)-N($F56))</f>
        <v/>
      </c>
      <c r="H56" s="24" t="n"/>
      <c r="I56" s="32">
        <f>IF($A56="","",IF($G56&lt;=0,"🔴 SIN STOCK",IF($G56&lt;=$H56,"🟠 REPONER",IF($G56&lt;=$H56*1.5,"🟡 VIGILAR","🟢 OK"))))</f>
        <v/>
      </c>
      <c r="J56" s="33">
        <f>IF($A56="","",IFERROR(SUMIFS('1_Compras_e_Inventario_Inicial'!$I$11:$I$510,'1_Compras_e_Inventario_Inicial'!$D$11:$D$510,$A56)/SUMIFS('1_Compras_e_Inventario_Inicial'!$G$11:$G$510,'1_Compras_e_Inventario_Inicial'!$D$11:$D$510,$A56),0))</f>
        <v/>
      </c>
      <c r="K56" s="25" t="n"/>
      <c r="L56" s="33">
        <f>IF($A56="","",$G56*$J56)</f>
        <v/>
      </c>
      <c r="M56" s="33">
        <f>IF($A56="","",$G56*$K56)</f>
        <v/>
      </c>
      <c r="N56" s="34">
        <f>IF($A56="","",IFERROR(($K56-$J56)/$K56,0))</f>
        <v/>
      </c>
    </row>
    <row r="57">
      <c r="A57" s="22" t="n"/>
      <c r="B57" s="23" t="n"/>
      <c r="C57" s="22" t="n"/>
      <c r="D57" s="24" t="n"/>
      <c r="E57" s="30">
        <f>IF($A57="","",SUMIFS('1_Compras_e_Inventario_Inicial'!$G$11:$G$510,'1_Compras_e_Inventario_Inicial'!$D$11:$D$510,$A57))</f>
        <v/>
      </c>
      <c r="F57" s="30">
        <f>IF($A57="","",SUMIFS('3_Ventas_Diarias'!$E$11:$E$610,'3_Ventas_Diarias'!$C$11:$C$610,$A57))</f>
        <v/>
      </c>
      <c r="G57" s="31">
        <f>IF($A57="","",N($D57)+N($E57)-N($F57))</f>
        <v/>
      </c>
      <c r="H57" s="24" t="n"/>
      <c r="I57" s="32">
        <f>IF($A57="","",IF($G57&lt;=0,"🔴 SIN STOCK",IF($G57&lt;=$H57,"🟠 REPONER",IF($G57&lt;=$H57*1.5,"🟡 VIGILAR","🟢 OK"))))</f>
        <v/>
      </c>
      <c r="J57" s="33">
        <f>IF($A57="","",IFERROR(SUMIFS('1_Compras_e_Inventario_Inicial'!$I$11:$I$510,'1_Compras_e_Inventario_Inicial'!$D$11:$D$510,$A57)/SUMIFS('1_Compras_e_Inventario_Inicial'!$G$11:$G$510,'1_Compras_e_Inventario_Inicial'!$D$11:$D$510,$A57),0))</f>
        <v/>
      </c>
      <c r="K57" s="25" t="n"/>
      <c r="L57" s="33">
        <f>IF($A57="","",$G57*$J57)</f>
        <v/>
      </c>
      <c r="M57" s="33">
        <f>IF($A57="","",$G57*$K57)</f>
        <v/>
      </c>
      <c r="N57" s="34">
        <f>IF($A57="","",IFERROR(($K57-$J57)/$K57,0))</f>
        <v/>
      </c>
    </row>
    <row r="58">
      <c r="A58" s="22" t="n"/>
      <c r="B58" s="23" t="n"/>
      <c r="C58" s="22" t="n"/>
      <c r="D58" s="24" t="n"/>
      <c r="E58" s="30">
        <f>IF($A58="","",SUMIFS('1_Compras_e_Inventario_Inicial'!$G$11:$G$510,'1_Compras_e_Inventario_Inicial'!$D$11:$D$510,$A58))</f>
        <v/>
      </c>
      <c r="F58" s="30">
        <f>IF($A58="","",SUMIFS('3_Ventas_Diarias'!$E$11:$E$610,'3_Ventas_Diarias'!$C$11:$C$610,$A58))</f>
        <v/>
      </c>
      <c r="G58" s="31">
        <f>IF($A58="","",N($D58)+N($E58)-N($F58))</f>
        <v/>
      </c>
      <c r="H58" s="24" t="n"/>
      <c r="I58" s="32">
        <f>IF($A58="","",IF($G58&lt;=0,"🔴 SIN STOCK",IF($G58&lt;=$H58,"🟠 REPONER",IF($G58&lt;=$H58*1.5,"🟡 VIGILAR","🟢 OK"))))</f>
        <v/>
      </c>
      <c r="J58" s="33">
        <f>IF($A58="","",IFERROR(SUMIFS('1_Compras_e_Inventario_Inicial'!$I$11:$I$510,'1_Compras_e_Inventario_Inicial'!$D$11:$D$510,$A58)/SUMIFS('1_Compras_e_Inventario_Inicial'!$G$11:$G$510,'1_Compras_e_Inventario_Inicial'!$D$11:$D$510,$A58),0))</f>
        <v/>
      </c>
      <c r="K58" s="25" t="n"/>
      <c r="L58" s="33">
        <f>IF($A58="","",$G58*$J58)</f>
        <v/>
      </c>
      <c r="M58" s="33">
        <f>IF($A58="","",$G58*$K58)</f>
        <v/>
      </c>
      <c r="N58" s="34">
        <f>IF($A58="","",IFERROR(($K58-$J58)/$K58,0))</f>
        <v/>
      </c>
    </row>
    <row r="59">
      <c r="A59" s="22" t="n"/>
      <c r="B59" s="23" t="n"/>
      <c r="C59" s="22" t="n"/>
      <c r="D59" s="24" t="n"/>
      <c r="E59" s="30">
        <f>IF($A59="","",SUMIFS('1_Compras_e_Inventario_Inicial'!$G$11:$G$510,'1_Compras_e_Inventario_Inicial'!$D$11:$D$510,$A59))</f>
        <v/>
      </c>
      <c r="F59" s="30">
        <f>IF($A59="","",SUMIFS('3_Ventas_Diarias'!$E$11:$E$610,'3_Ventas_Diarias'!$C$11:$C$610,$A59))</f>
        <v/>
      </c>
      <c r="G59" s="31">
        <f>IF($A59="","",N($D59)+N($E59)-N($F59))</f>
        <v/>
      </c>
      <c r="H59" s="24" t="n"/>
      <c r="I59" s="32">
        <f>IF($A59="","",IF($G59&lt;=0,"🔴 SIN STOCK",IF($G59&lt;=$H59,"🟠 REPONER",IF($G59&lt;=$H59*1.5,"🟡 VIGILAR","🟢 OK"))))</f>
        <v/>
      </c>
      <c r="J59" s="33">
        <f>IF($A59="","",IFERROR(SUMIFS('1_Compras_e_Inventario_Inicial'!$I$11:$I$510,'1_Compras_e_Inventario_Inicial'!$D$11:$D$510,$A59)/SUMIFS('1_Compras_e_Inventario_Inicial'!$G$11:$G$510,'1_Compras_e_Inventario_Inicial'!$D$11:$D$510,$A59),0))</f>
        <v/>
      </c>
      <c r="K59" s="25" t="n"/>
      <c r="L59" s="33">
        <f>IF($A59="","",$G59*$J59)</f>
        <v/>
      </c>
      <c r="M59" s="33">
        <f>IF($A59="","",$G59*$K59)</f>
        <v/>
      </c>
      <c r="N59" s="34">
        <f>IF($A59="","",IFERROR(($K59-$J59)/$K59,0))</f>
        <v/>
      </c>
    </row>
    <row r="60">
      <c r="A60" s="22" t="n"/>
      <c r="B60" s="23" t="n"/>
      <c r="C60" s="22" t="n"/>
      <c r="D60" s="24" t="n"/>
      <c r="E60" s="30">
        <f>IF($A60="","",SUMIFS('1_Compras_e_Inventario_Inicial'!$G$11:$G$510,'1_Compras_e_Inventario_Inicial'!$D$11:$D$510,$A60))</f>
        <v/>
      </c>
      <c r="F60" s="30">
        <f>IF($A60="","",SUMIFS('3_Ventas_Diarias'!$E$11:$E$610,'3_Ventas_Diarias'!$C$11:$C$610,$A60))</f>
        <v/>
      </c>
      <c r="G60" s="31">
        <f>IF($A60="","",N($D60)+N($E60)-N($F60))</f>
        <v/>
      </c>
      <c r="H60" s="24" t="n"/>
      <c r="I60" s="32">
        <f>IF($A60="","",IF($G60&lt;=0,"🔴 SIN STOCK",IF($G60&lt;=$H60,"🟠 REPONER",IF($G60&lt;=$H60*1.5,"🟡 VIGILAR","🟢 OK"))))</f>
        <v/>
      </c>
      <c r="J60" s="33">
        <f>IF($A60="","",IFERROR(SUMIFS('1_Compras_e_Inventario_Inicial'!$I$11:$I$510,'1_Compras_e_Inventario_Inicial'!$D$11:$D$510,$A60)/SUMIFS('1_Compras_e_Inventario_Inicial'!$G$11:$G$510,'1_Compras_e_Inventario_Inicial'!$D$11:$D$510,$A60),0))</f>
        <v/>
      </c>
      <c r="K60" s="25" t="n"/>
      <c r="L60" s="33">
        <f>IF($A60="","",$G60*$J60)</f>
        <v/>
      </c>
      <c r="M60" s="33">
        <f>IF($A60="","",$G60*$K60)</f>
        <v/>
      </c>
      <c r="N60" s="34">
        <f>IF($A60="","",IFERROR(($K60-$J60)/$K60,0))</f>
        <v/>
      </c>
    </row>
    <row r="61">
      <c r="A61" s="22" t="n"/>
      <c r="B61" s="23" t="n"/>
      <c r="C61" s="22" t="n"/>
      <c r="D61" s="24" t="n"/>
      <c r="E61" s="30">
        <f>IF($A61="","",SUMIFS('1_Compras_e_Inventario_Inicial'!$G$11:$G$510,'1_Compras_e_Inventario_Inicial'!$D$11:$D$510,$A61))</f>
        <v/>
      </c>
      <c r="F61" s="30">
        <f>IF($A61="","",SUMIFS('3_Ventas_Diarias'!$E$11:$E$610,'3_Ventas_Diarias'!$C$11:$C$610,$A61))</f>
        <v/>
      </c>
      <c r="G61" s="31">
        <f>IF($A61="","",N($D61)+N($E61)-N($F61))</f>
        <v/>
      </c>
      <c r="H61" s="24" t="n"/>
      <c r="I61" s="32">
        <f>IF($A61="","",IF($G61&lt;=0,"🔴 SIN STOCK",IF($G61&lt;=$H61,"🟠 REPONER",IF($G61&lt;=$H61*1.5,"🟡 VIGILAR","🟢 OK"))))</f>
        <v/>
      </c>
      <c r="J61" s="33">
        <f>IF($A61="","",IFERROR(SUMIFS('1_Compras_e_Inventario_Inicial'!$I$11:$I$510,'1_Compras_e_Inventario_Inicial'!$D$11:$D$510,$A61)/SUMIFS('1_Compras_e_Inventario_Inicial'!$G$11:$G$510,'1_Compras_e_Inventario_Inicial'!$D$11:$D$510,$A61),0))</f>
        <v/>
      </c>
      <c r="K61" s="25" t="n"/>
      <c r="L61" s="33">
        <f>IF($A61="","",$G61*$J61)</f>
        <v/>
      </c>
      <c r="M61" s="33">
        <f>IF($A61="","",$G61*$K61)</f>
        <v/>
      </c>
      <c r="N61" s="34">
        <f>IF($A61="","",IFERROR(($K61-$J61)/$K61,0))</f>
        <v/>
      </c>
    </row>
    <row r="62">
      <c r="A62" s="22" t="n"/>
      <c r="B62" s="23" t="n"/>
      <c r="C62" s="22" t="n"/>
      <c r="D62" s="24" t="n"/>
      <c r="E62" s="30">
        <f>IF($A62="","",SUMIFS('1_Compras_e_Inventario_Inicial'!$G$11:$G$510,'1_Compras_e_Inventario_Inicial'!$D$11:$D$510,$A62))</f>
        <v/>
      </c>
      <c r="F62" s="30">
        <f>IF($A62="","",SUMIFS('3_Ventas_Diarias'!$E$11:$E$610,'3_Ventas_Diarias'!$C$11:$C$610,$A62))</f>
        <v/>
      </c>
      <c r="G62" s="31">
        <f>IF($A62="","",N($D62)+N($E62)-N($F62))</f>
        <v/>
      </c>
      <c r="H62" s="24" t="n"/>
      <c r="I62" s="32">
        <f>IF($A62="","",IF($G62&lt;=0,"🔴 SIN STOCK",IF($G62&lt;=$H62,"🟠 REPONER",IF($G62&lt;=$H62*1.5,"🟡 VIGILAR","🟢 OK"))))</f>
        <v/>
      </c>
      <c r="J62" s="33">
        <f>IF($A62="","",IFERROR(SUMIFS('1_Compras_e_Inventario_Inicial'!$I$11:$I$510,'1_Compras_e_Inventario_Inicial'!$D$11:$D$510,$A62)/SUMIFS('1_Compras_e_Inventario_Inicial'!$G$11:$G$510,'1_Compras_e_Inventario_Inicial'!$D$11:$D$510,$A62),0))</f>
        <v/>
      </c>
      <c r="K62" s="25" t="n"/>
      <c r="L62" s="33">
        <f>IF($A62="","",$G62*$J62)</f>
        <v/>
      </c>
      <c r="M62" s="33">
        <f>IF($A62="","",$G62*$K62)</f>
        <v/>
      </c>
      <c r="N62" s="34">
        <f>IF($A62="","",IFERROR(($K62-$J62)/$K62,0))</f>
        <v/>
      </c>
    </row>
    <row r="63">
      <c r="A63" s="22" t="n"/>
      <c r="B63" s="23" t="n"/>
      <c r="C63" s="22" t="n"/>
      <c r="D63" s="24" t="n"/>
      <c r="E63" s="30">
        <f>IF($A63="","",SUMIFS('1_Compras_e_Inventario_Inicial'!$G$11:$G$510,'1_Compras_e_Inventario_Inicial'!$D$11:$D$510,$A63))</f>
        <v/>
      </c>
      <c r="F63" s="30">
        <f>IF($A63="","",SUMIFS('3_Ventas_Diarias'!$E$11:$E$610,'3_Ventas_Diarias'!$C$11:$C$610,$A63))</f>
        <v/>
      </c>
      <c r="G63" s="31">
        <f>IF($A63="","",N($D63)+N($E63)-N($F63))</f>
        <v/>
      </c>
      <c r="H63" s="24" t="n"/>
      <c r="I63" s="32">
        <f>IF($A63="","",IF($G63&lt;=0,"🔴 SIN STOCK",IF($G63&lt;=$H63,"🟠 REPONER",IF($G63&lt;=$H63*1.5,"🟡 VIGILAR","🟢 OK"))))</f>
        <v/>
      </c>
      <c r="J63" s="33">
        <f>IF($A63="","",IFERROR(SUMIFS('1_Compras_e_Inventario_Inicial'!$I$11:$I$510,'1_Compras_e_Inventario_Inicial'!$D$11:$D$510,$A63)/SUMIFS('1_Compras_e_Inventario_Inicial'!$G$11:$G$510,'1_Compras_e_Inventario_Inicial'!$D$11:$D$510,$A63),0))</f>
        <v/>
      </c>
      <c r="K63" s="25" t="n"/>
      <c r="L63" s="33">
        <f>IF($A63="","",$G63*$J63)</f>
        <v/>
      </c>
      <c r="M63" s="33">
        <f>IF($A63="","",$G63*$K63)</f>
        <v/>
      </c>
      <c r="N63" s="34">
        <f>IF($A63="","",IFERROR(($K63-$J63)/$K63,0))</f>
        <v/>
      </c>
    </row>
    <row r="64">
      <c r="A64" s="22" t="n"/>
      <c r="B64" s="23" t="n"/>
      <c r="C64" s="22" t="n"/>
      <c r="D64" s="24" t="n"/>
      <c r="E64" s="30">
        <f>IF($A64="","",SUMIFS('1_Compras_e_Inventario_Inicial'!$G$11:$G$510,'1_Compras_e_Inventario_Inicial'!$D$11:$D$510,$A64))</f>
        <v/>
      </c>
      <c r="F64" s="30">
        <f>IF($A64="","",SUMIFS('3_Ventas_Diarias'!$E$11:$E$610,'3_Ventas_Diarias'!$C$11:$C$610,$A64))</f>
        <v/>
      </c>
      <c r="G64" s="31">
        <f>IF($A64="","",N($D64)+N($E64)-N($F64))</f>
        <v/>
      </c>
      <c r="H64" s="24" t="n"/>
      <c r="I64" s="32">
        <f>IF($A64="","",IF($G64&lt;=0,"🔴 SIN STOCK",IF($G64&lt;=$H64,"🟠 REPONER",IF($G64&lt;=$H64*1.5,"🟡 VIGILAR","🟢 OK"))))</f>
        <v/>
      </c>
      <c r="J64" s="33">
        <f>IF($A64="","",IFERROR(SUMIFS('1_Compras_e_Inventario_Inicial'!$I$11:$I$510,'1_Compras_e_Inventario_Inicial'!$D$11:$D$510,$A64)/SUMIFS('1_Compras_e_Inventario_Inicial'!$G$11:$G$510,'1_Compras_e_Inventario_Inicial'!$D$11:$D$510,$A64),0))</f>
        <v/>
      </c>
      <c r="K64" s="25" t="n"/>
      <c r="L64" s="33">
        <f>IF($A64="","",$G64*$J64)</f>
        <v/>
      </c>
      <c r="M64" s="33">
        <f>IF($A64="","",$G64*$K64)</f>
        <v/>
      </c>
      <c r="N64" s="34">
        <f>IF($A64="","",IFERROR(($K64-$J64)/$K64,0))</f>
        <v/>
      </c>
    </row>
    <row r="65">
      <c r="A65" s="22" t="n"/>
      <c r="B65" s="23" t="n"/>
      <c r="C65" s="22" t="n"/>
      <c r="D65" s="24" t="n"/>
      <c r="E65" s="30">
        <f>IF($A65="","",SUMIFS('1_Compras_e_Inventario_Inicial'!$G$11:$G$510,'1_Compras_e_Inventario_Inicial'!$D$11:$D$510,$A65))</f>
        <v/>
      </c>
      <c r="F65" s="30">
        <f>IF($A65="","",SUMIFS('3_Ventas_Diarias'!$E$11:$E$610,'3_Ventas_Diarias'!$C$11:$C$610,$A65))</f>
        <v/>
      </c>
      <c r="G65" s="31">
        <f>IF($A65="","",N($D65)+N($E65)-N($F65))</f>
        <v/>
      </c>
      <c r="H65" s="24" t="n"/>
      <c r="I65" s="32">
        <f>IF($A65="","",IF($G65&lt;=0,"🔴 SIN STOCK",IF($G65&lt;=$H65,"🟠 REPONER",IF($G65&lt;=$H65*1.5,"🟡 VIGILAR","🟢 OK"))))</f>
        <v/>
      </c>
      <c r="J65" s="33">
        <f>IF($A65="","",IFERROR(SUMIFS('1_Compras_e_Inventario_Inicial'!$I$11:$I$510,'1_Compras_e_Inventario_Inicial'!$D$11:$D$510,$A65)/SUMIFS('1_Compras_e_Inventario_Inicial'!$G$11:$G$510,'1_Compras_e_Inventario_Inicial'!$D$11:$D$510,$A65),0))</f>
        <v/>
      </c>
      <c r="K65" s="25" t="n"/>
      <c r="L65" s="33">
        <f>IF($A65="","",$G65*$J65)</f>
        <v/>
      </c>
      <c r="M65" s="33">
        <f>IF($A65="","",$G65*$K65)</f>
        <v/>
      </c>
      <c r="N65" s="34">
        <f>IF($A65="","",IFERROR(($K65-$J65)/$K65,0))</f>
        <v/>
      </c>
    </row>
    <row r="66">
      <c r="A66" s="22" t="n"/>
      <c r="B66" s="23" t="n"/>
      <c r="C66" s="22" t="n"/>
      <c r="D66" s="24" t="n"/>
      <c r="E66" s="30">
        <f>IF($A66="","",SUMIFS('1_Compras_e_Inventario_Inicial'!$G$11:$G$510,'1_Compras_e_Inventario_Inicial'!$D$11:$D$510,$A66))</f>
        <v/>
      </c>
      <c r="F66" s="30">
        <f>IF($A66="","",SUMIFS('3_Ventas_Diarias'!$E$11:$E$610,'3_Ventas_Diarias'!$C$11:$C$610,$A66))</f>
        <v/>
      </c>
      <c r="G66" s="31">
        <f>IF($A66="","",N($D66)+N($E66)-N($F66))</f>
        <v/>
      </c>
      <c r="H66" s="24" t="n"/>
      <c r="I66" s="32">
        <f>IF($A66="","",IF($G66&lt;=0,"🔴 SIN STOCK",IF($G66&lt;=$H66,"🟠 REPONER",IF($G66&lt;=$H66*1.5,"🟡 VIGILAR","🟢 OK"))))</f>
        <v/>
      </c>
      <c r="J66" s="33">
        <f>IF($A66="","",IFERROR(SUMIFS('1_Compras_e_Inventario_Inicial'!$I$11:$I$510,'1_Compras_e_Inventario_Inicial'!$D$11:$D$510,$A66)/SUMIFS('1_Compras_e_Inventario_Inicial'!$G$11:$G$510,'1_Compras_e_Inventario_Inicial'!$D$11:$D$510,$A66),0))</f>
        <v/>
      </c>
      <c r="K66" s="25" t="n"/>
      <c r="L66" s="33">
        <f>IF($A66="","",$G66*$J66)</f>
        <v/>
      </c>
      <c r="M66" s="33">
        <f>IF($A66="","",$G66*$K66)</f>
        <v/>
      </c>
      <c r="N66" s="34">
        <f>IF($A66="","",IFERROR(($K66-$J66)/$K66,0))</f>
        <v/>
      </c>
    </row>
    <row r="67">
      <c r="A67" s="22" t="n"/>
      <c r="B67" s="23" t="n"/>
      <c r="C67" s="22" t="n"/>
      <c r="D67" s="24" t="n"/>
      <c r="E67" s="30">
        <f>IF($A67="","",SUMIFS('1_Compras_e_Inventario_Inicial'!$G$11:$G$510,'1_Compras_e_Inventario_Inicial'!$D$11:$D$510,$A67))</f>
        <v/>
      </c>
      <c r="F67" s="30">
        <f>IF($A67="","",SUMIFS('3_Ventas_Diarias'!$E$11:$E$610,'3_Ventas_Diarias'!$C$11:$C$610,$A67))</f>
        <v/>
      </c>
      <c r="G67" s="31">
        <f>IF($A67="","",N($D67)+N($E67)-N($F67))</f>
        <v/>
      </c>
      <c r="H67" s="24" t="n"/>
      <c r="I67" s="32">
        <f>IF($A67="","",IF($G67&lt;=0,"🔴 SIN STOCK",IF($G67&lt;=$H67,"🟠 REPONER",IF($G67&lt;=$H67*1.5,"🟡 VIGILAR","🟢 OK"))))</f>
        <v/>
      </c>
      <c r="J67" s="33">
        <f>IF($A67="","",IFERROR(SUMIFS('1_Compras_e_Inventario_Inicial'!$I$11:$I$510,'1_Compras_e_Inventario_Inicial'!$D$11:$D$510,$A67)/SUMIFS('1_Compras_e_Inventario_Inicial'!$G$11:$G$510,'1_Compras_e_Inventario_Inicial'!$D$11:$D$510,$A67),0))</f>
        <v/>
      </c>
      <c r="K67" s="25" t="n"/>
      <c r="L67" s="33">
        <f>IF($A67="","",$G67*$J67)</f>
        <v/>
      </c>
      <c r="M67" s="33">
        <f>IF($A67="","",$G67*$K67)</f>
        <v/>
      </c>
      <c r="N67" s="34">
        <f>IF($A67="","",IFERROR(($K67-$J67)/$K67,0))</f>
        <v/>
      </c>
    </row>
    <row r="68">
      <c r="A68" s="22" t="n"/>
      <c r="B68" s="23" t="n"/>
      <c r="C68" s="22" t="n"/>
      <c r="D68" s="24" t="n"/>
      <c r="E68" s="30">
        <f>IF($A68="","",SUMIFS('1_Compras_e_Inventario_Inicial'!$G$11:$G$510,'1_Compras_e_Inventario_Inicial'!$D$11:$D$510,$A68))</f>
        <v/>
      </c>
      <c r="F68" s="30">
        <f>IF($A68="","",SUMIFS('3_Ventas_Diarias'!$E$11:$E$610,'3_Ventas_Diarias'!$C$11:$C$610,$A68))</f>
        <v/>
      </c>
      <c r="G68" s="31">
        <f>IF($A68="","",N($D68)+N($E68)-N($F68))</f>
        <v/>
      </c>
      <c r="H68" s="24" t="n"/>
      <c r="I68" s="32">
        <f>IF($A68="","",IF($G68&lt;=0,"🔴 SIN STOCK",IF($G68&lt;=$H68,"🟠 REPONER",IF($G68&lt;=$H68*1.5,"🟡 VIGILAR","🟢 OK"))))</f>
        <v/>
      </c>
      <c r="J68" s="33">
        <f>IF($A68="","",IFERROR(SUMIFS('1_Compras_e_Inventario_Inicial'!$I$11:$I$510,'1_Compras_e_Inventario_Inicial'!$D$11:$D$510,$A68)/SUMIFS('1_Compras_e_Inventario_Inicial'!$G$11:$G$510,'1_Compras_e_Inventario_Inicial'!$D$11:$D$510,$A68),0))</f>
        <v/>
      </c>
      <c r="K68" s="25" t="n"/>
      <c r="L68" s="33">
        <f>IF($A68="","",$G68*$J68)</f>
        <v/>
      </c>
      <c r="M68" s="33">
        <f>IF($A68="","",$G68*$K68)</f>
        <v/>
      </c>
      <c r="N68" s="34">
        <f>IF($A68="","",IFERROR(($K68-$J68)/$K68,0))</f>
        <v/>
      </c>
    </row>
    <row r="69">
      <c r="A69" s="22" t="n"/>
      <c r="B69" s="23" t="n"/>
      <c r="C69" s="22" t="n"/>
      <c r="D69" s="24" t="n"/>
      <c r="E69" s="30">
        <f>IF($A69="","",SUMIFS('1_Compras_e_Inventario_Inicial'!$G$11:$G$510,'1_Compras_e_Inventario_Inicial'!$D$11:$D$510,$A69))</f>
        <v/>
      </c>
      <c r="F69" s="30">
        <f>IF($A69="","",SUMIFS('3_Ventas_Diarias'!$E$11:$E$610,'3_Ventas_Diarias'!$C$11:$C$610,$A69))</f>
        <v/>
      </c>
      <c r="G69" s="31">
        <f>IF($A69="","",N($D69)+N($E69)-N($F69))</f>
        <v/>
      </c>
      <c r="H69" s="24" t="n"/>
      <c r="I69" s="32">
        <f>IF($A69="","",IF($G69&lt;=0,"🔴 SIN STOCK",IF($G69&lt;=$H69,"🟠 REPONER",IF($G69&lt;=$H69*1.5,"🟡 VIGILAR","🟢 OK"))))</f>
        <v/>
      </c>
      <c r="J69" s="33">
        <f>IF($A69="","",IFERROR(SUMIFS('1_Compras_e_Inventario_Inicial'!$I$11:$I$510,'1_Compras_e_Inventario_Inicial'!$D$11:$D$510,$A69)/SUMIFS('1_Compras_e_Inventario_Inicial'!$G$11:$G$510,'1_Compras_e_Inventario_Inicial'!$D$11:$D$510,$A69),0))</f>
        <v/>
      </c>
      <c r="K69" s="25" t="n"/>
      <c r="L69" s="33">
        <f>IF($A69="","",$G69*$J69)</f>
        <v/>
      </c>
      <c r="M69" s="33">
        <f>IF($A69="","",$G69*$K69)</f>
        <v/>
      </c>
      <c r="N69" s="34">
        <f>IF($A69="","",IFERROR(($K69-$J69)/$K69,0))</f>
        <v/>
      </c>
    </row>
    <row r="70">
      <c r="A70" s="22" t="n"/>
      <c r="B70" s="23" t="n"/>
      <c r="C70" s="22" t="n"/>
      <c r="D70" s="24" t="n"/>
      <c r="E70" s="30">
        <f>IF($A70="","",SUMIFS('1_Compras_e_Inventario_Inicial'!$G$11:$G$510,'1_Compras_e_Inventario_Inicial'!$D$11:$D$510,$A70))</f>
        <v/>
      </c>
      <c r="F70" s="30">
        <f>IF($A70="","",SUMIFS('3_Ventas_Diarias'!$E$11:$E$610,'3_Ventas_Diarias'!$C$11:$C$610,$A70))</f>
        <v/>
      </c>
      <c r="G70" s="31">
        <f>IF($A70="","",N($D70)+N($E70)-N($F70))</f>
        <v/>
      </c>
      <c r="H70" s="24" t="n"/>
      <c r="I70" s="32">
        <f>IF($A70="","",IF($G70&lt;=0,"🔴 SIN STOCK",IF($G70&lt;=$H70,"🟠 REPONER",IF($G70&lt;=$H70*1.5,"🟡 VIGILAR","🟢 OK"))))</f>
        <v/>
      </c>
      <c r="J70" s="33">
        <f>IF($A70="","",IFERROR(SUMIFS('1_Compras_e_Inventario_Inicial'!$I$11:$I$510,'1_Compras_e_Inventario_Inicial'!$D$11:$D$510,$A70)/SUMIFS('1_Compras_e_Inventario_Inicial'!$G$11:$G$510,'1_Compras_e_Inventario_Inicial'!$D$11:$D$510,$A70),0))</f>
        <v/>
      </c>
      <c r="K70" s="25" t="n"/>
      <c r="L70" s="33">
        <f>IF($A70="","",$G70*$J70)</f>
        <v/>
      </c>
      <c r="M70" s="33">
        <f>IF($A70="","",$G70*$K70)</f>
        <v/>
      </c>
      <c r="N70" s="34">
        <f>IF($A70="","",IFERROR(($K70-$J70)/$K70,0))</f>
        <v/>
      </c>
    </row>
    <row r="71">
      <c r="A71" s="22" t="n"/>
      <c r="B71" s="23" t="n"/>
      <c r="C71" s="22" t="n"/>
      <c r="D71" s="24" t="n"/>
      <c r="E71" s="30">
        <f>IF($A71="","",SUMIFS('1_Compras_e_Inventario_Inicial'!$G$11:$G$510,'1_Compras_e_Inventario_Inicial'!$D$11:$D$510,$A71))</f>
        <v/>
      </c>
      <c r="F71" s="30">
        <f>IF($A71="","",SUMIFS('3_Ventas_Diarias'!$E$11:$E$610,'3_Ventas_Diarias'!$C$11:$C$610,$A71))</f>
        <v/>
      </c>
      <c r="G71" s="31">
        <f>IF($A71="","",N($D71)+N($E71)-N($F71))</f>
        <v/>
      </c>
      <c r="H71" s="24" t="n"/>
      <c r="I71" s="32">
        <f>IF($A71="","",IF($G71&lt;=0,"🔴 SIN STOCK",IF($G71&lt;=$H71,"🟠 REPONER",IF($G71&lt;=$H71*1.5,"🟡 VIGILAR","🟢 OK"))))</f>
        <v/>
      </c>
      <c r="J71" s="33">
        <f>IF($A71="","",IFERROR(SUMIFS('1_Compras_e_Inventario_Inicial'!$I$11:$I$510,'1_Compras_e_Inventario_Inicial'!$D$11:$D$510,$A71)/SUMIFS('1_Compras_e_Inventario_Inicial'!$G$11:$G$510,'1_Compras_e_Inventario_Inicial'!$D$11:$D$510,$A71),0))</f>
        <v/>
      </c>
      <c r="K71" s="25" t="n"/>
      <c r="L71" s="33">
        <f>IF($A71="","",$G71*$J71)</f>
        <v/>
      </c>
      <c r="M71" s="33">
        <f>IF($A71="","",$G71*$K71)</f>
        <v/>
      </c>
      <c r="N71" s="34">
        <f>IF($A71="","",IFERROR(($K71-$J71)/$K71,0))</f>
        <v/>
      </c>
    </row>
    <row r="72">
      <c r="A72" s="22" t="n"/>
      <c r="B72" s="23" t="n"/>
      <c r="C72" s="22" t="n"/>
      <c r="D72" s="24" t="n"/>
      <c r="E72" s="30">
        <f>IF($A72="","",SUMIFS('1_Compras_e_Inventario_Inicial'!$G$11:$G$510,'1_Compras_e_Inventario_Inicial'!$D$11:$D$510,$A72))</f>
        <v/>
      </c>
      <c r="F72" s="30">
        <f>IF($A72="","",SUMIFS('3_Ventas_Diarias'!$E$11:$E$610,'3_Ventas_Diarias'!$C$11:$C$610,$A72))</f>
        <v/>
      </c>
      <c r="G72" s="31">
        <f>IF($A72="","",N($D72)+N($E72)-N($F72))</f>
        <v/>
      </c>
      <c r="H72" s="24" t="n"/>
      <c r="I72" s="32">
        <f>IF($A72="","",IF($G72&lt;=0,"🔴 SIN STOCK",IF($G72&lt;=$H72,"🟠 REPONER",IF($G72&lt;=$H72*1.5,"🟡 VIGILAR","🟢 OK"))))</f>
        <v/>
      </c>
      <c r="J72" s="33">
        <f>IF($A72="","",IFERROR(SUMIFS('1_Compras_e_Inventario_Inicial'!$I$11:$I$510,'1_Compras_e_Inventario_Inicial'!$D$11:$D$510,$A72)/SUMIFS('1_Compras_e_Inventario_Inicial'!$G$11:$G$510,'1_Compras_e_Inventario_Inicial'!$D$11:$D$510,$A72),0))</f>
        <v/>
      </c>
      <c r="K72" s="25" t="n"/>
      <c r="L72" s="33">
        <f>IF($A72="","",$G72*$J72)</f>
        <v/>
      </c>
      <c r="M72" s="33">
        <f>IF($A72="","",$G72*$K72)</f>
        <v/>
      </c>
      <c r="N72" s="34">
        <f>IF($A72="","",IFERROR(($K72-$J72)/$K72,0))</f>
        <v/>
      </c>
    </row>
    <row r="73">
      <c r="A73" s="22" t="n"/>
      <c r="B73" s="23" t="n"/>
      <c r="C73" s="22" t="n"/>
      <c r="D73" s="24" t="n"/>
      <c r="E73" s="30">
        <f>IF($A73="","",SUMIFS('1_Compras_e_Inventario_Inicial'!$G$11:$G$510,'1_Compras_e_Inventario_Inicial'!$D$11:$D$510,$A73))</f>
        <v/>
      </c>
      <c r="F73" s="30">
        <f>IF($A73="","",SUMIFS('3_Ventas_Diarias'!$E$11:$E$610,'3_Ventas_Diarias'!$C$11:$C$610,$A73))</f>
        <v/>
      </c>
      <c r="G73" s="31">
        <f>IF($A73="","",N($D73)+N($E73)-N($F73))</f>
        <v/>
      </c>
      <c r="H73" s="24" t="n"/>
      <c r="I73" s="32">
        <f>IF($A73="","",IF($G73&lt;=0,"🔴 SIN STOCK",IF($G73&lt;=$H73,"🟠 REPONER",IF($G73&lt;=$H73*1.5,"🟡 VIGILAR","🟢 OK"))))</f>
        <v/>
      </c>
      <c r="J73" s="33">
        <f>IF($A73="","",IFERROR(SUMIFS('1_Compras_e_Inventario_Inicial'!$I$11:$I$510,'1_Compras_e_Inventario_Inicial'!$D$11:$D$510,$A73)/SUMIFS('1_Compras_e_Inventario_Inicial'!$G$11:$G$510,'1_Compras_e_Inventario_Inicial'!$D$11:$D$510,$A73),0))</f>
        <v/>
      </c>
      <c r="K73" s="25" t="n"/>
      <c r="L73" s="33">
        <f>IF($A73="","",$G73*$J73)</f>
        <v/>
      </c>
      <c r="M73" s="33">
        <f>IF($A73="","",$G73*$K73)</f>
        <v/>
      </c>
      <c r="N73" s="34">
        <f>IF($A73="","",IFERROR(($K73-$J73)/$K73,0))</f>
        <v/>
      </c>
    </row>
    <row r="74">
      <c r="A74" s="22" t="n"/>
      <c r="B74" s="23" t="n"/>
      <c r="C74" s="22" t="n"/>
      <c r="D74" s="24" t="n"/>
      <c r="E74" s="30">
        <f>IF($A74="","",SUMIFS('1_Compras_e_Inventario_Inicial'!$G$11:$G$510,'1_Compras_e_Inventario_Inicial'!$D$11:$D$510,$A74))</f>
        <v/>
      </c>
      <c r="F74" s="30">
        <f>IF($A74="","",SUMIFS('3_Ventas_Diarias'!$E$11:$E$610,'3_Ventas_Diarias'!$C$11:$C$610,$A74))</f>
        <v/>
      </c>
      <c r="G74" s="31">
        <f>IF($A74="","",N($D74)+N($E74)-N($F74))</f>
        <v/>
      </c>
      <c r="H74" s="24" t="n"/>
      <c r="I74" s="32">
        <f>IF($A74="","",IF($G74&lt;=0,"🔴 SIN STOCK",IF($G74&lt;=$H74,"🟠 REPONER",IF($G74&lt;=$H74*1.5,"🟡 VIGILAR","🟢 OK"))))</f>
        <v/>
      </c>
      <c r="J74" s="33">
        <f>IF($A74="","",IFERROR(SUMIFS('1_Compras_e_Inventario_Inicial'!$I$11:$I$510,'1_Compras_e_Inventario_Inicial'!$D$11:$D$510,$A74)/SUMIFS('1_Compras_e_Inventario_Inicial'!$G$11:$G$510,'1_Compras_e_Inventario_Inicial'!$D$11:$D$510,$A74),0))</f>
        <v/>
      </c>
      <c r="K74" s="25" t="n"/>
      <c r="L74" s="33">
        <f>IF($A74="","",$G74*$J74)</f>
        <v/>
      </c>
      <c r="M74" s="33">
        <f>IF($A74="","",$G74*$K74)</f>
        <v/>
      </c>
      <c r="N74" s="34">
        <f>IF($A74="","",IFERROR(($K74-$J74)/$K74,0))</f>
        <v/>
      </c>
    </row>
    <row r="75">
      <c r="A75" s="22" t="n"/>
      <c r="B75" s="23" t="n"/>
      <c r="C75" s="22" t="n"/>
      <c r="D75" s="24" t="n"/>
      <c r="E75" s="30">
        <f>IF($A75="","",SUMIFS('1_Compras_e_Inventario_Inicial'!$G$11:$G$510,'1_Compras_e_Inventario_Inicial'!$D$11:$D$510,$A75))</f>
        <v/>
      </c>
      <c r="F75" s="30">
        <f>IF($A75="","",SUMIFS('3_Ventas_Diarias'!$E$11:$E$610,'3_Ventas_Diarias'!$C$11:$C$610,$A75))</f>
        <v/>
      </c>
      <c r="G75" s="31">
        <f>IF($A75="","",N($D75)+N($E75)-N($F75))</f>
        <v/>
      </c>
      <c r="H75" s="24" t="n"/>
      <c r="I75" s="32">
        <f>IF($A75="","",IF($G75&lt;=0,"🔴 SIN STOCK",IF($G75&lt;=$H75,"🟠 REPONER",IF($G75&lt;=$H75*1.5,"🟡 VIGILAR","🟢 OK"))))</f>
        <v/>
      </c>
      <c r="J75" s="33">
        <f>IF($A75="","",IFERROR(SUMIFS('1_Compras_e_Inventario_Inicial'!$I$11:$I$510,'1_Compras_e_Inventario_Inicial'!$D$11:$D$510,$A75)/SUMIFS('1_Compras_e_Inventario_Inicial'!$G$11:$G$510,'1_Compras_e_Inventario_Inicial'!$D$11:$D$510,$A75),0))</f>
        <v/>
      </c>
      <c r="K75" s="25" t="n"/>
      <c r="L75" s="33">
        <f>IF($A75="","",$G75*$J75)</f>
        <v/>
      </c>
      <c r="M75" s="33">
        <f>IF($A75="","",$G75*$K75)</f>
        <v/>
      </c>
      <c r="N75" s="34">
        <f>IF($A75="","",IFERROR(($K75-$J75)/$K75,0))</f>
        <v/>
      </c>
    </row>
    <row r="76">
      <c r="A76" s="22" t="n"/>
      <c r="B76" s="23" t="n"/>
      <c r="C76" s="22" t="n"/>
      <c r="D76" s="24" t="n"/>
      <c r="E76" s="30">
        <f>IF($A76="","",SUMIFS('1_Compras_e_Inventario_Inicial'!$G$11:$G$510,'1_Compras_e_Inventario_Inicial'!$D$11:$D$510,$A76))</f>
        <v/>
      </c>
      <c r="F76" s="30">
        <f>IF($A76="","",SUMIFS('3_Ventas_Diarias'!$E$11:$E$610,'3_Ventas_Diarias'!$C$11:$C$610,$A76))</f>
        <v/>
      </c>
      <c r="G76" s="31">
        <f>IF($A76="","",N($D76)+N($E76)-N($F76))</f>
        <v/>
      </c>
      <c r="H76" s="24" t="n"/>
      <c r="I76" s="32">
        <f>IF($A76="","",IF($G76&lt;=0,"🔴 SIN STOCK",IF($G76&lt;=$H76,"🟠 REPONER",IF($G76&lt;=$H76*1.5,"🟡 VIGILAR","🟢 OK"))))</f>
        <v/>
      </c>
      <c r="J76" s="33">
        <f>IF($A76="","",IFERROR(SUMIFS('1_Compras_e_Inventario_Inicial'!$I$11:$I$510,'1_Compras_e_Inventario_Inicial'!$D$11:$D$510,$A76)/SUMIFS('1_Compras_e_Inventario_Inicial'!$G$11:$G$510,'1_Compras_e_Inventario_Inicial'!$D$11:$D$510,$A76),0))</f>
        <v/>
      </c>
      <c r="K76" s="25" t="n"/>
      <c r="L76" s="33">
        <f>IF($A76="","",$G76*$J76)</f>
        <v/>
      </c>
      <c r="M76" s="33">
        <f>IF($A76="","",$G76*$K76)</f>
        <v/>
      </c>
      <c r="N76" s="34">
        <f>IF($A76="","",IFERROR(($K76-$J76)/$K76,0))</f>
        <v/>
      </c>
    </row>
    <row r="77">
      <c r="A77" s="22" t="n"/>
      <c r="B77" s="23" t="n"/>
      <c r="C77" s="22" t="n"/>
      <c r="D77" s="24" t="n"/>
      <c r="E77" s="30">
        <f>IF($A77="","",SUMIFS('1_Compras_e_Inventario_Inicial'!$G$11:$G$510,'1_Compras_e_Inventario_Inicial'!$D$11:$D$510,$A77))</f>
        <v/>
      </c>
      <c r="F77" s="30">
        <f>IF($A77="","",SUMIFS('3_Ventas_Diarias'!$E$11:$E$610,'3_Ventas_Diarias'!$C$11:$C$610,$A77))</f>
        <v/>
      </c>
      <c r="G77" s="31">
        <f>IF($A77="","",N($D77)+N($E77)-N($F77))</f>
        <v/>
      </c>
      <c r="H77" s="24" t="n"/>
      <c r="I77" s="32">
        <f>IF($A77="","",IF($G77&lt;=0,"🔴 SIN STOCK",IF($G77&lt;=$H77,"🟠 REPONER",IF($G77&lt;=$H77*1.5,"🟡 VIGILAR","🟢 OK"))))</f>
        <v/>
      </c>
      <c r="J77" s="33">
        <f>IF($A77="","",IFERROR(SUMIFS('1_Compras_e_Inventario_Inicial'!$I$11:$I$510,'1_Compras_e_Inventario_Inicial'!$D$11:$D$510,$A77)/SUMIFS('1_Compras_e_Inventario_Inicial'!$G$11:$G$510,'1_Compras_e_Inventario_Inicial'!$D$11:$D$510,$A77),0))</f>
        <v/>
      </c>
      <c r="K77" s="25" t="n"/>
      <c r="L77" s="33">
        <f>IF($A77="","",$G77*$J77)</f>
        <v/>
      </c>
      <c r="M77" s="33">
        <f>IF($A77="","",$G77*$K77)</f>
        <v/>
      </c>
      <c r="N77" s="34">
        <f>IF($A77="","",IFERROR(($K77-$J77)/$K77,0))</f>
        <v/>
      </c>
    </row>
    <row r="78">
      <c r="A78" s="22" t="n"/>
      <c r="B78" s="23" t="n"/>
      <c r="C78" s="22" t="n"/>
      <c r="D78" s="24" t="n"/>
      <c r="E78" s="30">
        <f>IF($A78="","",SUMIFS('1_Compras_e_Inventario_Inicial'!$G$11:$G$510,'1_Compras_e_Inventario_Inicial'!$D$11:$D$510,$A78))</f>
        <v/>
      </c>
      <c r="F78" s="30">
        <f>IF($A78="","",SUMIFS('3_Ventas_Diarias'!$E$11:$E$610,'3_Ventas_Diarias'!$C$11:$C$610,$A78))</f>
        <v/>
      </c>
      <c r="G78" s="31">
        <f>IF($A78="","",N($D78)+N($E78)-N($F78))</f>
        <v/>
      </c>
      <c r="H78" s="24" t="n"/>
      <c r="I78" s="32">
        <f>IF($A78="","",IF($G78&lt;=0,"🔴 SIN STOCK",IF($G78&lt;=$H78,"🟠 REPONER",IF($G78&lt;=$H78*1.5,"🟡 VIGILAR","🟢 OK"))))</f>
        <v/>
      </c>
      <c r="J78" s="33">
        <f>IF($A78="","",IFERROR(SUMIFS('1_Compras_e_Inventario_Inicial'!$I$11:$I$510,'1_Compras_e_Inventario_Inicial'!$D$11:$D$510,$A78)/SUMIFS('1_Compras_e_Inventario_Inicial'!$G$11:$G$510,'1_Compras_e_Inventario_Inicial'!$D$11:$D$510,$A78),0))</f>
        <v/>
      </c>
      <c r="K78" s="25" t="n"/>
      <c r="L78" s="33">
        <f>IF($A78="","",$G78*$J78)</f>
        <v/>
      </c>
      <c r="M78" s="33">
        <f>IF($A78="","",$G78*$K78)</f>
        <v/>
      </c>
      <c r="N78" s="34">
        <f>IF($A78="","",IFERROR(($K78-$J78)/$K78,0))</f>
        <v/>
      </c>
    </row>
    <row r="79">
      <c r="A79" s="22" t="n"/>
      <c r="B79" s="23" t="n"/>
      <c r="C79" s="22" t="n"/>
      <c r="D79" s="24" t="n"/>
      <c r="E79" s="30">
        <f>IF($A79="","",SUMIFS('1_Compras_e_Inventario_Inicial'!$G$11:$G$510,'1_Compras_e_Inventario_Inicial'!$D$11:$D$510,$A79))</f>
        <v/>
      </c>
      <c r="F79" s="30">
        <f>IF($A79="","",SUMIFS('3_Ventas_Diarias'!$E$11:$E$610,'3_Ventas_Diarias'!$C$11:$C$610,$A79))</f>
        <v/>
      </c>
      <c r="G79" s="31">
        <f>IF($A79="","",N($D79)+N($E79)-N($F79))</f>
        <v/>
      </c>
      <c r="H79" s="24" t="n"/>
      <c r="I79" s="32">
        <f>IF($A79="","",IF($G79&lt;=0,"🔴 SIN STOCK",IF($G79&lt;=$H79,"🟠 REPONER",IF($G79&lt;=$H79*1.5,"🟡 VIGILAR","🟢 OK"))))</f>
        <v/>
      </c>
      <c r="J79" s="33">
        <f>IF($A79="","",IFERROR(SUMIFS('1_Compras_e_Inventario_Inicial'!$I$11:$I$510,'1_Compras_e_Inventario_Inicial'!$D$11:$D$510,$A79)/SUMIFS('1_Compras_e_Inventario_Inicial'!$G$11:$G$510,'1_Compras_e_Inventario_Inicial'!$D$11:$D$510,$A79),0))</f>
        <v/>
      </c>
      <c r="K79" s="25" t="n"/>
      <c r="L79" s="33">
        <f>IF($A79="","",$G79*$J79)</f>
        <v/>
      </c>
      <c r="M79" s="33">
        <f>IF($A79="","",$G79*$K79)</f>
        <v/>
      </c>
      <c r="N79" s="34">
        <f>IF($A79="","",IFERROR(($K79-$J79)/$K79,0))</f>
        <v/>
      </c>
    </row>
    <row r="80">
      <c r="A80" s="22" t="n"/>
      <c r="B80" s="23" t="n"/>
      <c r="C80" s="22" t="n"/>
      <c r="D80" s="24" t="n"/>
      <c r="E80" s="30">
        <f>IF($A80="","",SUMIFS('1_Compras_e_Inventario_Inicial'!$G$11:$G$510,'1_Compras_e_Inventario_Inicial'!$D$11:$D$510,$A80))</f>
        <v/>
      </c>
      <c r="F80" s="30">
        <f>IF($A80="","",SUMIFS('3_Ventas_Diarias'!$E$11:$E$610,'3_Ventas_Diarias'!$C$11:$C$610,$A80))</f>
        <v/>
      </c>
      <c r="G80" s="31">
        <f>IF($A80="","",N($D80)+N($E80)-N($F80))</f>
        <v/>
      </c>
      <c r="H80" s="24" t="n"/>
      <c r="I80" s="32">
        <f>IF($A80="","",IF($G80&lt;=0,"🔴 SIN STOCK",IF($G80&lt;=$H80,"🟠 REPONER",IF($G80&lt;=$H80*1.5,"🟡 VIGILAR","🟢 OK"))))</f>
        <v/>
      </c>
      <c r="J80" s="33">
        <f>IF($A80="","",IFERROR(SUMIFS('1_Compras_e_Inventario_Inicial'!$I$11:$I$510,'1_Compras_e_Inventario_Inicial'!$D$11:$D$510,$A80)/SUMIFS('1_Compras_e_Inventario_Inicial'!$G$11:$G$510,'1_Compras_e_Inventario_Inicial'!$D$11:$D$510,$A80),0))</f>
        <v/>
      </c>
      <c r="K80" s="25" t="n"/>
      <c r="L80" s="33">
        <f>IF($A80="","",$G80*$J80)</f>
        <v/>
      </c>
      <c r="M80" s="33">
        <f>IF($A80="","",$G80*$K80)</f>
        <v/>
      </c>
      <c r="N80" s="34">
        <f>IF($A80="","",IFERROR(($K80-$J80)/$K80,0))</f>
        <v/>
      </c>
    </row>
    <row r="81">
      <c r="A81" s="22" t="n"/>
      <c r="B81" s="23" t="n"/>
      <c r="C81" s="22" t="n"/>
      <c r="D81" s="24" t="n"/>
      <c r="E81" s="30">
        <f>IF($A81="","",SUMIFS('1_Compras_e_Inventario_Inicial'!$G$11:$G$510,'1_Compras_e_Inventario_Inicial'!$D$11:$D$510,$A81))</f>
        <v/>
      </c>
      <c r="F81" s="30">
        <f>IF($A81="","",SUMIFS('3_Ventas_Diarias'!$E$11:$E$610,'3_Ventas_Diarias'!$C$11:$C$610,$A81))</f>
        <v/>
      </c>
      <c r="G81" s="31">
        <f>IF($A81="","",N($D81)+N($E81)-N($F81))</f>
        <v/>
      </c>
      <c r="H81" s="24" t="n"/>
      <c r="I81" s="32">
        <f>IF($A81="","",IF($G81&lt;=0,"🔴 SIN STOCK",IF($G81&lt;=$H81,"🟠 REPONER",IF($G81&lt;=$H81*1.5,"🟡 VIGILAR","🟢 OK"))))</f>
        <v/>
      </c>
      <c r="J81" s="33">
        <f>IF($A81="","",IFERROR(SUMIFS('1_Compras_e_Inventario_Inicial'!$I$11:$I$510,'1_Compras_e_Inventario_Inicial'!$D$11:$D$510,$A81)/SUMIFS('1_Compras_e_Inventario_Inicial'!$G$11:$G$510,'1_Compras_e_Inventario_Inicial'!$D$11:$D$510,$A81),0))</f>
        <v/>
      </c>
      <c r="K81" s="25" t="n"/>
      <c r="L81" s="33">
        <f>IF($A81="","",$G81*$J81)</f>
        <v/>
      </c>
      <c r="M81" s="33">
        <f>IF($A81="","",$G81*$K81)</f>
        <v/>
      </c>
      <c r="N81" s="34">
        <f>IF($A81="","",IFERROR(($K81-$J81)/$K81,0))</f>
        <v/>
      </c>
    </row>
    <row r="82">
      <c r="A82" s="22" t="n"/>
      <c r="B82" s="23" t="n"/>
      <c r="C82" s="22" t="n"/>
      <c r="D82" s="24" t="n"/>
      <c r="E82" s="30">
        <f>IF($A82="","",SUMIFS('1_Compras_e_Inventario_Inicial'!$G$11:$G$510,'1_Compras_e_Inventario_Inicial'!$D$11:$D$510,$A82))</f>
        <v/>
      </c>
      <c r="F82" s="30">
        <f>IF($A82="","",SUMIFS('3_Ventas_Diarias'!$E$11:$E$610,'3_Ventas_Diarias'!$C$11:$C$610,$A82))</f>
        <v/>
      </c>
      <c r="G82" s="31">
        <f>IF($A82="","",N($D82)+N($E82)-N($F82))</f>
        <v/>
      </c>
      <c r="H82" s="24" t="n"/>
      <c r="I82" s="32">
        <f>IF($A82="","",IF($G82&lt;=0,"🔴 SIN STOCK",IF($G82&lt;=$H82,"🟠 REPONER",IF($G82&lt;=$H82*1.5,"🟡 VIGILAR","🟢 OK"))))</f>
        <v/>
      </c>
      <c r="J82" s="33">
        <f>IF($A82="","",IFERROR(SUMIFS('1_Compras_e_Inventario_Inicial'!$I$11:$I$510,'1_Compras_e_Inventario_Inicial'!$D$11:$D$510,$A82)/SUMIFS('1_Compras_e_Inventario_Inicial'!$G$11:$G$510,'1_Compras_e_Inventario_Inicial'!$D$11:$D$510,$A82),0))</f>
        <v/>
      </c>
      <c r="K82" s="25" t="n"/>
      <c r="L82" s="33">
        <f>IF($A82="","",$G82*$J82)</f>
        <v/>
      </c>
      <c r="M82" s="33">
        <f>IF($A82="","",$G82*$K82)</f>
        <v/>
      </c>
      <c r="N82" s="34">
        <f>IF($A82="","",IFERROR(($K82-$J82)/$K82,0))</f>
        <v/>
      </c>
    </row>
    <row r="83">
      <c r="A83" s="22" t="n"/>
      <c r="B83" s="23" t="n"/>
      <c r="C83" s="22" t="n"/>
      <c r="D83" s="24" t="n"/>
      <c r="E83" s="30">
        <f>IF($A83="","",SUMIFS('1_Compras_e_Inventario_Inicial'!$G$11:$G$510,'1_Compras_e_Inventario_Inicial'!$D$11:$D$510,$A83))</f>
        <v/>
      </c>
      <c r="F83" s="30">
        <f>IF($A83="","",SUMIFS('3_Ventas_Diarias'!$E$11:$E$610,'3_Ventas_Diarias'!$C$11:$C$610,$A83))</f>
        <v/>
      </c>
      <c r="G83" s="31">
        <f>IF($A83="","",N($D83)+N($E83)-N($F83))</f>
        <v/>
      </c>
      <c r="H83" s="24" t="n"/>
      <c r="I83" s="32">
        <f>IF($A83="","",IF($G83&lt;=0,"🔴 SIN STOCK",IF($G83&lt;=$H83,"🟠 REPONER",IF($G83&lt;=$H83*1.5,"🟡 VIGILAR","🟢 OK"))))</f>
        <v/>
      </c>
      <c r="J83" s="33">
        <f>IF($A83="","",IFERROR(SUMIFS('1_Compras_e_Inventario_Inicial'!$I$11:$I$510,'1_Compras_e_Inventario_Inicial'!$D$11:$D$510,$A83)/SUMIFS('1_Compras_e_Inventario_Inicial'!$G$11:$G$510,'1_Compras_e_Inventario_Inicial'!$D$11:$D$510,$A83),0))</f>
        <v/>
      </c>
      <c r="K83" s="25" t="n"/>
      <c r="L83" s="33">
        <f>IF($A83="","",$G83*$J83)</f>
        <v/>
      </c>
      <c r="M83" s="33">
        <f>IF($A83="","",$G83*$K83)</f>
        <v/>
      </c>
      <c r="N83" s="34">
        <f>IF($A83="","",IFERROR(($K83-$J83)/$K83,0))</f>
        <v/>
      </c>
    </row>
    <row r="84">
      <c r="A84" s="22" t="n"/>
      <c r="B84" s="23" t="n"/>
      <c r="C84" s="22" t="n"/>
      <c r="D84" s="24" t="n"/>
      <c r="E84" s="30">
        <f>IF($A84="","",SUMIFS('1_Compras_e_Inventario_Inicial'!$G$11:$G$510,'1_Compras_e_Inventario_Inicial'!$D$11:$D$510,$A84))</f>
        <v/>
      </c>
      <c r="F84" s="30">
        <f>IF($A84="","",SUMIFS('3_Ventas_Diarias'!$E$11:$E$610,'3_Ventas_Diarias'!$C$11:$C$610,$A84))</f>
        <v/>
      </c>
      <c r="G84" s="31">
        <f>IF($A84="","",N($D84)+N($E84)-N($F84))</f>
        <v/>
      </c>
      <c r="H84" s="24" t="n"/>
      <c r="I84" s="32">
        <f>IF($A84="","",IF($G84&lt;=0,"🔴 SIN STOCK",IF($G84&lt;=$H84,"🟠 REPONER",IF($G84&lt;=$H84*1.5,"🟡 VIGILAR","🟢 OK"))))</f>
        <v/>
      </c>
      <c r="J84" s="33">
        <f>IF($A84="","",IFERROR(SUMIFS('1_Compras_e_Inventario_Inicial'!$I$11:$I$510,'1_Compras_e_Inventario_Inicial'!$D$11:$D$510,$A84)/SUMIFS('1_Compras_e_Inventario_Inicial'!$G$11:$G$510,'1_Compras_e_Inventario_Inicial'!$D$11:$D$510,$A84),0))</f>
        <v/>
      </c>
      <c r="K84" s="25" t="n"/>
      <c r="L84" s="33">
        <f>IF($A84="","",$G84*$J84)</f>
        <v/>
      </c>
      <c r="M84" s="33">
        <f>IF($A84="","",$G84*$K84)</f>
        <v/>
      </c>
      <c r="N84" s="34">
        <f>IF($A84="","",IFERROR(($K84-$J84)/$K84,0))</f>
        <v/>
      </c>
    </row>
    <row r="85">
      <c r="A85" s="22" t="n"/>
      <c r="B85" s="23" t="n"/>
      <c r="C85" s="22" t="n"/>
      <c r="D85" s="24" t="n"/>
      <c r="E85" s="30">
        <f>IF($A85="","",SUMIFS('1_Compras_e_Inventario_Inicial'!$G$11:$G$510,'1_Compras_e_Inventario_Inicial'!$D$11:$D$510,$A85))</f>
        <v/>
      </c>
      <c r="F85" s="30">
        <f>IF($A85="","",SUMIFS('3_Ventas_Diarias'!$E$11:$E$610,'3_Ventas_Diarias'!$C$11:$C$610,$A85))</f>
        <v/>
      </c>
      <c r="G85" s="31">
        <f>IF($A85="","",N($D85)+N($E85)-N($F85))</f>
        <v/>
      </c>
      <c r="H85" s="24" t="n"/>
      <c r="I85" s="32">
        <f>IF($A85="","",IF($G85&lt;=0,"🔴 SIN STOCK",IF($G85&lt;=$H85,"🟠 REPONER",IF($G85&lt;=$H85*1.5,"🟡 VIGILAR","🟢 OK"))))</f>
        <v/>
      </c>
      <c r="J85" s="33">
        <f>IF($A85="","",IFERROR(SUMIFS('1_Compras_e_Inventario_Inicial'!$I$11:$I$510,'1_Compras_e_Inventario_Inicial'!$D$11:$D$510,$A85)/SUMIFS('1_Compras_e_Inventario_Inicial'!$G$11:$G$510,'1_Compras_e_Inventario_Inicial'!$D$11:$D$510,$A85),0))</f>
        <v/>
      </c>
      <c r="K85" s="25" t="n"/>
      <c r="L85" s="33">
        <f>IF($A85="","",$G85*$J85)</f>
        <v/>
      </c>
      <c r="M85" s="33">
        <f>IF($A85="","",$G85*$K85)</f>
        <v/>
      </c>
      <c r="N85" s="34">
        <f>IF($A85="","",IFERROR(($K85-$J85)/$K85,0))</f>
        <v/>
      </c>
    </row>
    <row r="86">
      <c r="A86" s="22" t="n"/>
      <c r="B86" s="23" t="n"/>
      <c r="C86" s="22" t="n"/>
      <c r="D86" s="24" t="n"/>
      <c r="E86" s="30">
        <f>IF($A86="","",SUMIFS('1_Compras_e_Inventario_Inicial'!$G$11:$G$510,'1_Compras_e_Inventario_Inicial'!$D$11:$D$510,$A86))</f>
        <v/>
      </c>
      <c r="F86" s="30">
        <f>IF($A86="","",SUMIFS('3_Ventas_Diarias'!$E$11:$E$610,'3_Ventas_Diarias'!$C$11:$C$610,$A86))</f>
        <v/>
      </c>
      <c r="G86" s="31">
        <f>IF($A86="","",N($D86)+N($E86)-N($F86))</f>
        <v/>
      </c>
      <c r="H86" s="24" t="n"/>
      <c r="I86" s="32">
        <f>IF($A86="","",IF($G86&lt;=0,"🔴 SIN STOCK",IF($G86&lt;=$H86,"🟠 REPONER",IF($G86&lt;=$H86*1.5,"🟡 VIGILAR","🟢 OK"))))</f>
        <v/>
      </c>
      <c r="J86" s="33">
        <f>IF($A86="","",IFERROR(SUMIFS('1_Compras_e_Inventario_Inicial'!$I$11:$I$510,'1_Compras_e_Inventario_Inicial'!$D$11:$D$510,$A86)/SUMIFS('1_Compras_e_Inventario_Inicial'!$G$11:$G$510,'1_Compras_e_Inventario_Inicial'!$D$11:$D$510,$A86),0))</f>
        <v/>
      </c>
      <c r="K86" s="25" t="n"/>
      <c r="L86" s="33">
        <f>IF($A86="","",$G86*$J86)</f>
        <v/>
      </c>
      <c r="M86" s="33">
        <f>IF($A86="","",$G86*$K86)</f>
        <v/>
      </c>
      <c r="N86" s="34">
        <f>IF($A86="","",IFERROR(($K86-$J86)/$K86,0))</f>
        <v/>
      </c>
    </row>
    <row r="87">
      <c r="A87" s="22" t="n"/>
      <c r="B87" s="23" t="n"/>
      <c r="C87" s="22" t="n"/>
      <c r="D87" s="24" t="n"/>
      <c r="E87" s="30">
        <f>IF($A87="","",SUMIFS('1_Compras_e_Inventario_Inicial'!$G$11:$G$510,'1_Compras_e_Inventario_Inicial'!$D$11:$D$510,$A87))</f>
        <v/>
      </c>
      <c r="F87" s="30">
        <f>IF($A87="","",SUMIFS('3_Ventas_Diarias'!$E$11:$E$610,'3_Ventas_Diarias'!$C$11:$C$610,$A87))</f>
        <v/>
      </c>
      <c r="G87" s="31">
        <f>IF($A87="","",N($D87)+N($E87)-N($F87))</f>
        <v/>
      </c>
      <c r="H87" s="24" t="n"/>
      <c r="I87" s="32">
        <f>IF($A87="","",IF($G87&lt;=0,"🔴 SIN STOCK",IF($G87&lt;=$H87,"🟠 REPONER",IF($G87&lt;=$H87*1.5,"🟡 VIGILAR","🟢 OK"))))</f>
        <v/>
      </c>
      <c r="J87" s="33">
        <f>IF($A87="","",IFERROR(SUMIFS('1_Compras_e_Inventario_Inicial'!$I$11:$I$510,'1_Compras_e_Inventario_Inicial'!$D$11:$D$510,$A87)/SUMIFS('1_Compras_e_Inventario_Inicial'!$G$11:$G$510,'1_Compras_e_Inventario_Inicial'!$D$11:$D$510,$A87),0))</f>
        <v/>
      </c>
      <c r="K87" s="25" t="n"/>
      <c r="L87" s="33">
        <f>IF($A87="","",$G87*$J87)</f>
        <v/>
      </c>
      <c r="M87" s="33">
        <f>IF($A87="","",$G87*$K87)</f>
        <v/>
      </c>
      <c r="N87" s="34">
        <f>IF($A87="","",IFERROR(($K87-$J87)/$K87,0))</f>
        <v/>
      </c>
    </row>
    <row r="88">
      <c r="A88" s="22" t="n"/>
      <c r="B88" s="23" t="n"/>
      <c r="C88" s="22" t="n"/>
      <c r="D88" s="24" t="n"/>
      <c r="E88" s="30">
        <f>IF($A88="","",SUMIFS('1_Compras_e_Inventario_Inicial'!$G$11:$G$510,'1_Compras_e_Inventario_Inicial'!$D$11:$D$510,$A88))</f>
        <v/>
      </c>
      <c r="F88" s="30">
        <f>IF($A88="","",SUMIFS('3_Ventas_Diarias'!$E$11:$E$610,'3_Ventas_Diarias'!$C$11:$C$610,$A88))</f>
        <v/>
      </c>
      <c r="G88" s="31">
        <f>IF($A88="","",N($D88)+N($E88)-N($F88))</f>
        <v/>
      </c>
      <c r="H88" s="24" t="n"/>
      <c r="I88" s="32">
        <f>IF($A88="","",IF($G88&lt;=0,"🔴 SIN STOCK",IF($G88&lt;=$H88,"🟠 REPONER",IF($G88&lt;=$H88*1.5,"🟡 VIGILAR","🟢 OK"))))</f>
        <v/>
      </c>
      <c r="J88" s="33">
        <f>IF($A88="","",IFERROR(SUMIFS('1_Compras_e_Inventario_Inicial'!$I$11:$I$510,'1_Compras_e_Inventario_Inicial'!$D$11:$D$510,$A88)/SUMIFS('1_Compras_e_Inventario_Inicial'!$G$11:$G$510,'1_Compras_e_Inventario_Inicial'!$D$11:$D$510,$A88),0))</f>
        <v/>
      </c>
      <c r="K88" s="25" t="n"/>
      <c r="L88" s="33">
        <f>IF($A88="","",$G88*$J88)</f>
        <v/>
      </c>
      <c r="M88" s="33">
        <f>IF($A88="","",$G88*$K88)</f>
        <v/>
      </c>
      <c r="N88" s="34">
        <f>IF($A88="","",IFERROR(($K88-$J88)/$K88,0))</f>
        <v/>
      </c>
    </row>
    <row r="89">
      <c r="A89" s="22" t="n"/>
      <c r="B89" s="23" t="n"/>
      <c r="C89" s="22" t="n"/>
      <c r="D89" s="24" t="n"/>
      <c r="E89" s="30">
        <f>IF($A89="","",SUMIFS('1_Compras_e_Inventario_Inicial'!$G$11:$G$510,'1_Compras_e_Inventario_Inicial'!$D$11:$D$510,$A89))</f>
        <v/>
      </c>
      <c r="F89" s="30">
        <f>IF($A89="","",SUMIFS('3_Ventas_Diarias'!$E$11:$E$610,'3_Ventas_Diarias'!$C$11:$C$610,$A89))</f>
        <v/>
      </c>
      <c r="G89" s="31">
        <f>IF($A89="","",N($D89)+N($E89)-N($F89))</f>
        <v/>
      </c>
      <c r="H89" s="24" t="n"/>
      <c r="I89" s="32">
        <f>IF($A89="","",IF($G89&lt;=0,"🔴 SIN STOCK",IF($G89&lt;=$H89,"🟠 REPONER",IF($G89&lt;=$H89*1.5,"🟡 VIGILAR","🟢 OK"))))</f>
        <v/>
      </c>
      <c r="J89" s="33">
        <f>IF($A89="","",IFERROR(SUMIFS('1_Compras_e_Inventario_Inicial'!$I$11:$I$510,'1_Compras_e_Inventario_Inicial'!$D$11:$D$510,$A89)/SUMIFS('1_Compras_e_Inventario_Inicial'!$G$11:$G$510,'1_Compras_e_Inventario_Inicial'!$D$11:$D$510,$A89),0))</f>
        <v/>
      </c>
      <c r="K89" s="25" t="n"/>
      <c r="L89" s="33">
        <f>IF($A89="","",$G89*$J89)</f>
        <v/>
      </c>
      <c r="M89" s="33">
        <f>IF($A89="","",$G89*$K89)</f>
        <v/>
      </c>
      <c r="N89" s="34">
        <f>IF($A89="","",IFERROR(($K89-$J89)/$K89,0))</f>
        <v/>
      </c>
    </row>
    <row r="90">
      <c r="A90" s="22" t="n"/>
      <c r="B90" s="23" t="n"/>
      <c r="C90" s="22" t="n"/>
      <c r="D90" s="24" t="n"/>
      <c r="E90" s="30">
        <f>IF($A90="","",SUMIFS('1_Compras_e_Inventario_Inicial'!$G$11:$G$510,'1_Compras_e_Inventario_Inicial'!$D$11:$D$510,$A90))</f>
        <v/>
      </c>
      <c r="F90" s="30">
        <f>IF($A90="","",SUMIFS('3_Ventas_Diarias'!$E$11:$E$610,'3_Ventas_Diarias'!$C$11:$C$610,$A90))</f>
        <v/>
      </c>
      <c r="G90" s="31">
        <f>IF($A90="","",N($D90)+N($E90)-N($F90))</f>
        <v/>
      </c>
      <c r="H90" s="24" t="n"/>
      <c r="I90" s="32">
        <f>IF($A90="","",IF($G90&lt;=0,"🔴 SIN STOCK",IF($G90&lt;=$H90,"🟠 REPONER",IF($G90&lt;=$H90*1.5,"🟡 VIGILAR","🟢 OK"))))</f>
        <v/>
      </c>
      <c r="J90" s="33">
        <f>IF($A90="","",IFERROR(SUMIFS('1_Compras_e_Inventario_Inicial'!$I$11:$I$510,'1_Compras_e_Inventario_Inicial'!$D$11:$D$510,$A90)/SUMIFS('1_Compras_e_Inventario_Inicial'!$G$11:$G$510,'1_Compras_e_Inventario_Inicial'!$D$11:$D$510,$A90),0))</f>
        <v/>
      </c>
      <c r="K90" s="25" t="n"/>
      <c r="L90" s="33">
        <f>IF($A90="","",$G90*$J90)</f>
        <v/>
      </c>
      <c r="M90" s="33">
        <f>IF($A90="","",$G90*$K90)</f>
        <v/>
      </c>
      <c r="N90" s="34">
        <f>IF($A90="","",IFERROR(($K90-$J90)/$K90,0))</f>
        <v/>
      </c>
    </row>
    <row r="91">
      <c r="A91" s="22" t="n"/>
      <c r="B91" s="23" t="n"/>
      <c r="C91" s="22" t="n"/>
      <c r="D91" s="24" t="n"/>
      <c r="E91" s="30">
        <f>IF($A91="","",SUMIFS('1_Compras_e_Inventario_Inicial'!$G$11:$G$510,'1_Compras_e_Inventario_Inicial'!$D$11:$D$510,$A91))</f>
        <v/>
      </c>
      <c r="F91" s="30">
        <f>IF($A91="","",SUMIFS('3_Ventas_Diarias'!$E$11:$E$610,'3_Ventas_Diarias'!$C$11:$C$610,$A91))</f>
        <v/>
      </c>
      <c r="G91" s="31">
        <f>IF($A91="","",N($D91)+N($E91)-N($F91))</f>
        <v/>
      </c>
      <c r="H91" s="24" t="n"/>
      <c r="I91" s="32">
        <f>IF($A91="","",IF($G91&lt;=0,"🔴 SIN STOCK",IF($G91&lt;=$H91,"🟠 REPONER",IF($G91&lt;=$H91*1.5,"🟡 VIGILAR","🟢 OK"))))</f>
        <v/>
      </c>
      <c r="J91" s="33">
        <f>IF($A91="","",IFERROR(SUMIFS('1_Compras_e_Inventario_Inicial'!$I$11:$I$510,'1_Compras_e_Inventario_Inicial'!$D$11:$D$510,$A91)/SUMIFS('1_Compras_e_Inventario_Inicial'!$G$11:$G$510,'1_Compras_e_Inventario_Inicial'!$D$11:$D$510,$A91),0))</f>
        <v/>
      </c>
      <c r="K91" s="25" t="n"/>
      <c r="L91" s="33">
        <f>IF($A91="","",$G91*$J91)</f>
        <v/>
      </c>
      <c r="M91" s="33">
        <f>IF($A91="","",$G91*$K91)</f>
        <v/>
      </c>
      <c r="N91" s="34">
        <f>IF($A91="","",IFERROR(($K91-$J91)/$K91,0))</f>
        <v/>
      </c>
    </row>
    <row r="92">
      <c r="A92" s="22" t="n"/>
      <c r="B92" s="23" t="n"/>
      <c r="C92" s="22" t="n"/>
      <c r="D92" s="24" t="n"/>
      <c r="E92" s="30">
        <f>IF($A92="","",SUMIFS('1_Compras_e_Inventario_Inicial'!$G$11:$G$510,'1_Compras_e_Inventario_Inicial'!$D$11:$D$510,$A92))</f>
        <v/>
      </c>
      <c r="F92" s="30">
        <f>IF($A92="","",SUMIFS('3_Ventas_Diarias'!$E$11:$E$610,'3_Ventas_Diarias'!$C$11:$C$610,$A92))</f>
        <v/>
      </c>
      <c r="G92" s="31">
        <f>IF($A92="","",N($D92)+N($E92)-N($F92))</f>
        <v/>
      </c>
      <c r="H92" s="24" t="n"/>
      <c r="I92" s="32">
        <f>IF($A92="","",IF($G92&lt;=0,"🔴 SIN STOCK",IF($G92&lt;=$H92,"🟠 REPONER",IF($G92&lt;=$H92*1.5,"🟡 VIGILAR","🟢 OK"))))</f>
        <v/>
      </c>
      <c r="J92" s="33">
        <f>IF($A92="","",IFERROR(SUMIFS('1_Compras_e_Inventario_Inicial'!$I$11:$I$510,'1_Compras_e_Inventario_Inicial'!$D$11:$D$510,$A92)/SUMIFS('1_Compras_e_Inventario_Inicial'!$G$11:$G$510,'1_Compras_e_Inventario_Inicial'!$D$11:$D$510,$A92),0))</f>
        <v/>
      </c>
      <c r="K92" s="25" t="n"/>
      <c r="L92" s="33">
        <f>IF($A92="","",$G92*$J92)</f>
        <v/>
      </c>
      <c r="M92" s="33">
        <f>IF($A92="","",$G92*$K92)</f>
        <v/>
      </c>
      <c r="N92" s="34">
        <f>IF($A92="","",IFERROR(($K92-$J92)/$K92,0))</f>
        <v/>
      </c>
    </row>
    <row r="93">
      <c r="A93" s="22" t="n"/>
      <c r="B93" s="23" t="n"/>
      <c r="C93" s="22" t="n"/>
      <c r="D93" s="24" t="n"/>
      <c r="E93" s="30">
        <f>IF($A93="","",SUMIFS('1_Compras_e_Inventario_Inicial'!$G$11:$G$510,'1_Compras_e_Inventario_Inicial'!$D$11:$D$510,$A93))</f>
        <v/>
      </c>
      <c r="F93" s="30">
        <f>IF($A93="","",SUMIFS('3_Ventas_Diarias'!$E$11:$E$610,'3_Ventas_Diarias'!$C$11:$C$610,$A93))</f>
        <v/>
      </c>
      <c r="G93" s="31">
        <f>IF($A93="","",N($D93)+N($E93)-N($F93))</f>
        <v/>
      </c>
      <c r="H93" s="24" t="n"/>
      <c r="I93" s="32">
        <f>IF($A93="","",IF($G93&lt;=0,"🔴 SIN STOCK",IF($G93&lt;=$H93,"🟠 REPONER",IF($G93&lt;=$H93*1.5,"🟡 VIGILAR","🟢 OK"))))</f>
        <v/>
      </c>
      <c r="J93" s="33">
        <f>IF($A93="","",IFERROR(SUMIFS('1_Compras_e_Inventario_Inicial'!$I$11:$I$510,'1_Compras_e_Inventario_Inicial'!$D$11:$D$510,$A93)/SUMIFS('1_Compras_e_Inventario_Inicial'!$G$11:$G$510,'1_Compras_e_Inventario_Inicial'!$D$11:$D$510,$A93),0))</f>
        <v/>
      </c>
      <c r="K93" s="25" t="n"/>
      <c r="L93" s="33">
        <f>IF($A93="","",$G93*$J93)</f>
        <v/>
      </c>
      <c r="M93" s="33">
        <f>IF($A93="","",$G93*$K93)</f>
        <v/>
      </c>
      <c r="N93" s="34">
        <f>IF($A93="","",IFERROR(($K93-$J93)/$K93,0))</f>
        <v/>
      </c>
    </row>
    <row r="94">
      <c r="A94" s="22" t="n"/>
      <c r="B94" s="23" t="n"/>
      <c r="C94" s="22" t="n"/>
      <c r="D94" s="24" t="n"/>
      <c r="E94" s="30">
        <f>IF($A94="","",SUMIFS('1_Compras_e_Inventario_Inicial'!$G$11:$G$510,'1_Compras_e_Inventario_Inicial'!$D$11:$D$510,$A94))</f>
        <v/>
      </c>
      <c r="F94" s="30">
        <f>IF($A94="","",SUMIFS('3_Ventas_Diarias'!$E$11:$E$610,'3_Ventas_Diarias'!$C$11:$C$610,$A94))</f>
        <v/>
      </c>
      <c r="G94" s="31">
        <f>IF($A94="","",N($D94)+N($E94)-N($F94))</f>
        <v/>
      </c>
      <c r="H94" s="24" t="n"/>
      <c r="I94" s="32">
        <f>IF($A94="","",IF($G94&lt;=0,"🔴 SIN STOCK",IF($G94&lt;=$H94,"🟠 REPONER",IF($G94&lt;=$H94*1.5,"🟡 VIGILAR","🟢 OK"))))</f>
        <v/>
      </c>
      <c r="J94" s="33">
        <f>IF($A94="","",IFERROR(SUMIFS('1_Compras_e_Inventario_Inicial'!$I$11:$I$510,'1_Compras_e_Inventario_Inicial'!$D$11:$D$510,$A94)/SUMIFS('1_Compras_e_Inventario_Inicial'!$G$11:$G$510,'1_Compras_e_Inventario_Inicial'!$D$11:$D$510,$A94),0))</f>
        <v/>
      </c>
      <c r="K94" s="25" t="n"/>
      <c r="L94" s="33">
        <f>IF($A94="","",$G94*$J94)</f>
        <v/>
      </c>
      <c r="M94" s="33">
        <f>IF($A94="","",$G94*$K94)</f>
        <v/>
      </c>
      <c r="N94" s="34">
        <f>IF($A94="","",IFERROR(($K94-$J94)/$K94,0))</f>
        <v/>
      </c>
    </row>
    <row r="95">
      <c r="A95" s="22" t="n"/>
      <c r="B95" s="23" t="n"/>
      <c r="C95" s="22" t="n"/>
      <c r="D95" s="24" t="n"/>
      <c r="E95" s="30">
        <f>IF($A95="","",SUMIFS('1_Compras_e_Inventario_Inicial'!$G$11:$G$510,'1_Compras_e_Inventario_Inicial'!$D$11:$D$510,$A95))</f>
        <v/>
      </c>
      <c r="F95" s="30">
        <f>IF($A95="","",SUMIFS('3_Ventas_Diarias'!$E$11:$E$610,'3_Ventas_Diarias'!$C$11:$C$610,$A95))</f>
        <v/>
      </c>
      <c r="G95" s="31">
        <f>IF($A95="","",N($D95)+N($E95)-N($F95))</f>
        <v/>
      </c>
      <c r="H95" s="24" t="n"/>
      <c r="I95" s="32">
        <f>IF($A95="","",IF($G95&lt;=0,"🔴 SIN STOCK",IF($G95&lt;=$H95,"🟠 REPONER",IF($G95&lt;=$H95*1.5,"🟡 VIGILAR","🟢 OK"))))</f>
        <v/>
      </c>
      <c r="J95" s="33">
        <f>IF($A95="","",IFERROR(SUMIFS('1_Compras_e_Inventario_Inicial'!$I$11:$I$510,'1_Compras_e_Inventario_Inicial'!$D$11:$D$510,$A95)/SUMIFS('1_Compras_e_Inventario_Inicial'!$G$11:$G$510,'1_Compras_e_Inventario_Inicial'!$D$11:$D$510,$A95),0))</f>
        <v/>
      </c>
      <c r="K95" s="25" t="n"/>
      <c r="L95" s="33">
        <f>IF($A95="","",$G95*$J95)</f>
        <v/>
      </c>
      <c r="M95" s="33">
        <f>IF($A95="","",$G95*$K95)</f>
        <v/>
      </c>
      <c r="N95" s="34">
        <f>IF($A95="","",IFERROR(($K95-$J95)/$K95,0))</f>
        <v/>
      </c>
    </row>
    <row r="96">
      <c r="A96" s="22" t="n"/>
      <c r="B96" s="23" t="n"/>
      <c r="C96" s="22" t="n"/>
      <c r="D96" s="24" t="n"/>
      <c r="E96" s="30">
        <f>IF($A96="","",SUMIFS('1_Compras_e_Inventario_Inicial'!$G$11:$G$510,'1_Compras_e_Inventario_Inicial'!$D$11:$D$510,$A96))</f>
        <v/>
      </c>
      <c r="F96" s="30">
        <f>IF($A96="","",SUMIFS('3_Ventas_Diarias'!$E$11:$E$610,'3_Ventas_Diarias'!$C$11:$C$610,$A96))</f>
        <v/>
      </c>
      <c r="G96" s="31">
        <f>IF($A96="","",N($D96)+N($E96)-N($F96))</f>
        <v/>
      </c>
      <c r="H96" s="24" t="n"/>
      <c r="I96" s="32">
        <f>IF($A96="","",IF($G96&lt;=0,"🔴 SIN STOCK",IF($G96&lt;=$H96,"🟠 REPONER",IF($G96&lt;=$H96*1.5,"🟡 VIGILAR","🟢 OK"))))</f>
        <v/>
      </c>
      <c r="J96" s="33">
        <f>IF($A96="","",IFERROR(SUMIFS('1_Compras_e_Inventario_Inicial'!$I$11:$I$510,'1_Compras_e_Inventario_Inicial'!$D$11:$D$510,$A96)/SUMIFS('1_Compras_e_Inventario_Inicial'!$G$11:$G$510,'1_Compras_e_Inventario_Inicial'!$D$11:$D$510,$A96),0))</f>
        <v/>
      </c>
      <c r="K96" s="25" t="n"/>
      <c r="L96" s="33">
        <f>IF($A96="","",$G96*$J96)</f>
        <v/>
      </c>
      <c r="M96" s="33">
        <f>IF($A96="","",$G96*$K96)</f>
        <v/>
      </c>
      <c r="N96" s="34">
        <f>IF($A96="","",IFERROR(($K96-$J96)/$K96,0))</f>
        <v/>
      </c>
    </row>
    <row r="97">
      <c r="A97" s="22" t="n"/>
      <c r="B97" s="23" t="n"/>
      <c r="C97" s="22" t="n"/>
      <c r="D97" s="24" t="n"/>
      <c r="E97" s="30">
        <f>IF($A97="","",SUMIFS('1_Compras_e_Inventario_Inicial'!$G$11:$G$510,'1_Compras_e_Inventario_Inicial'!$D$11:$D$510,$A97))</f>
        <v/>
      </c>
      <c r="F97" s="30">
        <f>IF($A97="","",SUMIFS('3_Ventas_Diarias'!$E$11:$E$610,'3_Ventas_Diarias'!$C$11:$C$610,$A97))</f>
        <v/>
      </c>
      <c r="G97" s="31">
        <f>IF($A97="","",N($D97)+N($E97)-N($F97))</f>
        <v/>
      </c>
      <c r="H97" s="24" t="n"/>
      <c r="I97" s="32">
        <f>IF($A97="","",IF($G97&lt;=0,"🔴 SIN STOCK",IF($G97&lt;=$H97,"🟠 REPONER",IF($G97&lt;=$H97*1.5,"🟡 VIGILAR","🟢 OK"))))</f>
        <v/>
      </c>
      <c r="J97" s="33">
        <f>IF($A97="","",IFERROR(SUMIFS('1_Compras_e_Inventario_Inicial'!$I$11:$I$510,'1_Compras_e_Inventario_Inicial'!$D$11:$D$510,$A97)/SUMIFS('1_Compras_e_Inventario_Inicial'!$G$11:$G$510,'1_Compras_e_Inventario_Inicial'!$D$11:$D$510,$A97),0))</f>
        <v/>
      </c>
      <c r="K97" s="25" t="n"/>
      <c r="L97" s="33">
        <f>IF($A97="","",$G97*$J97)</f>
        <v/>
      </c>
      <c r="M97" s="33">
        <f>IF($A97="","",$G97*$K97)</f>
        <v/>
      </c>
      <c r="N97" s="34">
        <f>IF($A97="","",IFERROR(($K97-$J97)/$K97,0))</f>
        <v/>
      </c>
    </row>
    <row r="98">
      <c r="A98" s="22" t="n"/>
      <c r="B98" s="23" t="n"/>
      <c r="C98" s="22" t="n"/>
      <c r="D98" s="24" t="n"/>
      <c r="E98" s="30">
        <f>IF($A98="","",SUMIFS('1_Compras_e_Inventario_Inicial'!$G$11:$G$510,'1_Compras_e_Inventario_Inicial'!$D$11:$D$510,$A98))</f>
        <v/>
      </c>
      <c r="F98" s="30">
        <f>IF($A98="","",SUMIFS('3_Ventas_Diarias'!$E$11:$E$610,'3_Ventas_Diarias'!$C$11:$C$610,$A98))</f>
        <v/>
      </c>
      <c r="G98" s="31">
        <f>IF($A98="","",N($D98)+N($E98)-N($F98))</f>
        <v/>
      </c>
      <c r="H98" s="24" t="n"/>
      <c r="I98" s="32">
        <f>IF($A98="","",IF($G98&lt;=0,"🔴 SIN STOCK",IF($G98&lt;=$H98,"🟠 REPONER",IF($G98&lt;=$H98*1.5,"🟡 VIGILAR","🟢 OK"))))</f>
        <v/>
      </c>
      <c r="J98" s="33">
        <f>IF($A98="","",IFERROR(SUMIFS('1_Compras_e_Inventario_Inicial'!$I$11:$I$510,'1_Compras_e_Inventario_Inicial'!$D$11:$D$510,$A98)/SUMIFS('1_Compras_e_Inventario_Inicial'!$G$11:$G$510,'1_Compras_e_Inventario_Inicial'!$D$11:$D$510,$A98),0))</f>
        <v/>
      </c>
      <c r="K98" s="25" t="n"/>
      <c r="L98" s="33">
        <f>IF($A98="","",$G98*$J98)</f>
        <v/>
      </c>
      <c r="M98" s="33">
        <f>IF($A98="","",$G98*$K98)</f>
        <v/>
      </c>
      <c r="N98" s="34">
        <f>IF($A98="","",IFERROR(($K98-$J98)/$K98,0))</f>
        <v/>
      </c>
    </row>
    <row r="99">
      <c r="A99" s="22" t="n"/>
      <c r="B99" s="23" t="n"/>
      <c r="C99" s="22" t="n"/>
      <c r="D99" s="24" t="n"/>
      <c r="E99" s="30">
        <f>IF($A99="","",SUMIFS('1_Compras_e_Inventario_Inicial'!$G$11:$G$510,'1_Compras_e_Inventario_Inicial'!$D$11:$D$510,$A99))</f>
        <v/>
      </c>
      <c r="F99" s="30">
        <f>IF($A99="","",SUMIFS('3_Ventas_Diarias'!$E$11:$E$610,'3_Ventas_Diarias'!$C$11:$C$610,$A99))</f>
        <v/>
      </c>
      <c r="G99" s="31">
        <f>IF($A99="","",N($D99)+N($E99)-N($F99))</f>
        <v/>
      </c>
      <c r="H99" s="24" t="n"/>
      <c r="I99" s="32">
        <f>IF($A99="","",IF($G99&lt;=0,"🔴 SIN STOCK",IF($G99&lt;=$H99,"🟠 REPONER",IF($G99&lt;=$H99*1.5,"🟡 VIGILAR","🟢 OK"))))</f>
        <v/>
      </c>
      <c r="J99" s="33">
        <f>IF($A99="","",IFERROR(SUMIFS('1_Compras_e_Inventario_Inicial'!$I$11:$I$510,'1_Compras_e_Inventario_Inicial'!$D$11:$D$510,$A99)/SUMIFS('1_Compras_e_Inventario_Inicial'!$G$11:$G$510,'1_Compras_e_Inventario_Inicial'!$D$11:$D$510,$A99),0))</f>
        <v/>
      </c>
      <c r="K99" s="25" t="n"/>
      <c r="L99" s="33">
        <f>IF($A99="","",$G99*$J99)</f>
        <v/>
      </c>
      <c r="M99" s="33">
        <f>IF($A99="","",$G99*$K99)</f>
        <v/>
      </c>
      <c r="N99" s="34">
        <f>IF($A99="","",IFERROR(($K99-$J99)/$K99,0))</f>
        <v/>
      </c>
    </row>
    <row r="100">
      <c r="A100" s="22" t="n"/>
      <c r="B100" s="23" t="n"/>
      <c r="C100" s="22" t="n"/>
      <c r="D100" s="24" t="n"/>
      <c r="E100" s="30">
        <f>IF($A100="","",SUMIFS('1_Compras_e_Inventario_Inicial'!$G$11:$G$510,'1_Compras_e_Inventario_Inicial'!$D$11:$D$510,$A100))</f>
        <v/>
      </c>
      <c r="F100" s="30">
        <f>IF($A100="","",SUMIFS('3_Ventas_Diarias'!$E$11:$E$610,'3_Ventas_Diarias'!$C$11:$C$610,$A100))</f>
        <v/>
      </c>
      <c r="G100" s="31">
        <f>IF($A100="","",N($D100)+N($E100)-N($F100))</f>
        <v/>
      </c>
      <c r="H100" s="24" t="n"/>
      <c r="I100" s="32">
        <f>IF($A100="","",IF($G100&lt;=0,"🔴 SIN STOCK",IF($G100&lt;=$H100,"🟠 REPONER",IF($G100&lt;=$H100*1.5,"🟡 VIGILAR","🟢 OK"))))</f>
        <v/>
      </c>
      <c r="J100" s="33">
        <f>IF($A100="","",IFERROR(SUMIFS('1_Compras_e_Inventario_Inicial'!$I$11:$I$510,'1_Compras_e_Inventario_Inicial'!$D$11:$D$510,$A100)/SUMIFS('1_Compras_e_Inventario_Inicial'!$G$11:$G$510,'1_Compras_e_Inventario_Inicial'!$D$11:$D$510,$A100),0))</f>
        <v/>
      </c>
      <c r="K100" s="25" t="n"/>
      <c r="L100" s="33">
        <f>IF($A100="","",$G100*$J100)</f>
        <v/>
      </c>
      <c r="M100" s="33">
        <f>IF($A100="","",$G100*$K100)</f>
        <v/>
      </c>
      <c r="N100" s="34">
        <f>IF($A100="","",IFERROR(($K100-$J100)/$K100,0))</f>
        <v/>
      </c>
    </row>
    <row r="101">
      <c r="A101" s="22" t="n"/>
      <c r="B101" s="23" t="n"/>
      <c r="C101" s="22" t="n"/>
      <c r="D101" s="24" t="n"/>
      <c r="E101" s="30">
        <f>IF($A101="","",SUMIFS('1_Compras_e_Inventario_Inicial'!$G$11:$G$510,'1_Compras_e_Inventario_Inicial'!$D$11:$D$510,$A101))</f>
        <v/>
      </c>
      <c r="F101" s="30">
        <f>IF($A101="","",SUMIFS('3_Ventas_Diarias'!$E$11:$E$610,'3_Ventas_Diarias'!$C$11:$C$610,$A101))</f>
        <v/>
      </c>
      <c r="G101" s="31">
        <f>IF($A101="","",N($D101)+N($E101)-N($F101))</f>
        <v/>
      </c>
      <c r="H101" s="24" t="n"/>
      <c r="I101" s="32">
        <f>IF($A101="","",IF($G101&lt;=0,"🔴 SIN STOCK",IF($G101&lt;=$H101,"🟠 REPONER",IF($G101&lt;=$H101*1.5,"🟡 VIGILAR","🟢 OK"))))</f>
        <v/>
      </c>
      <c r="J101" s="33">
        <f>IF($A101="","",IFERROR(SUMIFS('1_Compras_e_Inventario_Inicial'!$I$11:$I$510,'1_Compras_e_Inventario_Inicial'!$D$11:$D$510,$A101)/SUMIFS('1_Compras_e_Inventario_Inicial'!$G$11:$G$510,'1_Compras_e_Inventario_Inicial'!$D$11:$D$510,$A101),0))</f>
        <v/>
      </c>
      <c r="K101" s="25" t="n"/>
      <c r="L101" s="33">
        <f>IF($A101="","",$G101*$J101)</f>
        <v/>
      </c>
      <c r="M101" s="33">
        <f>IF($A101="","",$G101*$K101)</f>
        <v/>
      </c>
      <c r="N101" s="34">
        <f>IF($A101="","",IFERROR(($K101-$J101)/$K101,0))</f>
        <v/>
      </c>
    </row>
    <row r="102">
      <c r="A102" s="22" t="n"/>
      <c r="B102" s="23" t="n"/>
      <c r="C102" s="22" t="n"/>
      <c r="D102" s="24" t="n"/>
      <c r="E102" s="30">
        <f>IF($A102="","",SUMIFS('1_Compras_e_Inventario_Inicial'!$G$11:$G$510,'1_Compras_e_Inventario_Inicial'!$D$11:$D$510,$A102))</f>
        <v/>
      </c>
      <c r="F102" s="30">
        <f>IF($A102="","",SUMIFS('3_Ventas_Diarias'!$E$11:$E$610,'3_Ventas_Diarias'!$C$11:$C$610,$A102))</f>
        <v/>
      </c>
      <c r="G102" s="31">
        <f>IF($A102="","",N($D102)+N($E102)-N($F102))</f>
        <v/>
      </c>
      <c r="H102" s="24" t="n"/>
      <c r="I102" s="32">
        <f>IF($A102="","",IF($G102&lt;=0,"🔴 SIN STOCK",IF($G102&lt;=$H102,"🟠 REPONER",IF($G102&lt;=$H102*1.5,"🟡 VIGILAR","🟢 OK"))))</f>
        <v/>
      </c>
      <c r="J102" s="33">
        <f>IF($A102="","",IFERROR(SUMIFS('1_Compras_e_Inventario_Inicial'!$I$11:$I$510,'1_Compras_e_Inventario_Inicial'!$D$11:$D$510,$A102)/SUMIFS('1_Compras_e_Inventario_Inicial'!$G$11:$G$510,'1_Compras_e_Inventario_Inicial'!$D$11:$D$510,$A102),0))</f>
        <v/>
      </c>
      <c r="K102" s="25" t="n"/>
      <c r="L102" s="33">
        <f>IF($A102="","",$G102*$J102)</f>
        <v/>
      </c>
      <c r="M102" s="33">
        <f>IF($A102="","",$G102*$K102)</f>
        <v/>
      </c>
      <c r="N102" s="34">
        <f>IF($A102="","",IFERROR(($K102-$J102)/$K102,0))</f>
        <v/>
      </c>
    </row>
    <row r="103">
      <c r="A103" s="22" t="n"/>
      <c r="B103" s="23" t="n"/>
      <c r="C103" s="22" t="n"/>
      <c r="D103" s="24" t="n"/>
      <c r="E103" s="30">
        <f>IF($A103="","",SUMIFS('1_Compras_e_Inventario_Inicial'!$G$11:$G$510,'1_Compras_e_Inventario_Inicial'!$D$11:$D$510,$A103))</f>
        <v/>
      </c>
      <c r="F103" s="30">
        <f>IF($A103="","",SUMIFS('3_Ventas_Diarias'!$E$11:$E$610,'3_Ventas_Diarias'!$C$11:$C$610,$A103))</f>
        <v/>
      </c>
      <c r="G103" s="31">
        <f>IF($A103="","",N($D103)+N($E103)-N($F103))</f>
        <v/>
      </c>
      <c r="H103" s="24" t="n"/>
      <c r="I103" s="32">
        <f>IF($A103="","",IF($G103&lt;=0,"🔴 SIN STOCK",IF($G103&lt;=$H103,"🟠 REPONER",IF($G103&lt;=$H103*1.5,"🟡 VIGILAR","🟢 OK"))))</f>
        <v/>
      </c>
      <c r="J103" s="33">
        <f>IF($A103="","",IFERROR(SUMIFS('1_Compras_e_Inventario_Inicial'!$I$11:$I$510,'1_Compras_e_Inventario_Inicial'!$D$11:$D$510,$A103)/SUMIFS('1_Compras_e_Inventario_Inicial'!$G$11:$G$510,'1_Compras_e_Inventario_Inicial'!$D$11:$D$510,$A103),0))</f>
        <v/>
      </c>
      <c r="K103" s="25" t="n"/>
      <c r="L103" s="33">
        <f>IF($A103="","",$G103*$J103)</f>
        <v/>
      </c>
      <c r="M103" s="33">
        <f>IF($A103="","",$G103*$K103)</f>
        <v/>
      </c>
      <c r="N103" s="34">
        <f>IF($A103="","",IFERROR(($K103-$J103)/$K103,0))</f>
        <v/>
      </c>
    </row>
    <row r="104">
      <c r="A104" s="22" t="n"/>
      <c r="B104" s="23" t="n"/>
      <c r="C104" s="22" t="n"/>
      <c r="D104" s="24" t="n"/>
      <c r="E104" s="30">
        <f>IF($A104="","",SUMIFS('1_Compras_e_Inventario_Inicial'!$G$11:$G$510,'1_Compras_e_Inventario_Inicial'!$D$11:$D$510,$A104))</f>
        <v/>
      </c>
      <c r="F104" s="30">
        <f>IF($A104="","",SUMIFS('3_Ventas_Diarias'!$E$11:$E$610,'3_Ventas_Diarias'!$C$11:$C$610,$A104))</f>
        <v/>
      </c>
      <c r="G104" s="31">
        <f>IF($A104="","",N($D104)+N($E104)-N($F104))</f>
        <v/>
      </c>
      <c r="H104" s="24" t="n"/>
      <c r="I104" s="32">
        <f>IF($A104="","",IF($G104&lt;=0,"🔴 SIN STOCK",IF($G104&lt;=$H104,"🟠 REPONER",IF($G104&lt;=$H104*1.5,"🟡 VIGILAR","🟢 OK"))))</f>
        <v/>
      </c>
      <c r="J104" s="33">
        <f>IF($A104="","",IFERROR(SUMIFS('1_Compras_e_Inventario_Inicial'!$I$11:$I$510,'1_Compras_e_Inventario_Inicial'!$D$11:$D$510,$A104)/SUMIFS('1_Compras_e_Inventario_Inicial'!$G$11:$G$510,'1_Compras_e_Inventario_Inicial'!$D$11:$D$510,$A104),0))</f>
        <v/>
      </c>
      <c r="K104" s="25" t="n"/>
      <c r="L104" s="33">
        <f>IF($A104="","",$G104*$J104)</f>
        <v/>
      </c>
      <c r="M104" s="33">
        <f>IF($A104="","",$G104*$K104)</f>
        <v/>
      </c>
      <c r="N104" s="34">
        <f>IF($A104="","",IFERROR(($K104-$J104)/$K104,0))</f>
        <v/>
      </c>
    </row>
    <row r="105">
      <c r="A105" s="22" t="n"/>
      <c r="B105" s="23" t="n"/>
      <c r="C105" s="22" t="n"/>
      <c r="D105" s="24" t="n"/>
      <c r="E105" s="30">
        <f>IF($A105="","",SUMIFS('1_Compras_e_Inventario_Inicial'!$G$11:$G$510,'1_Compras_e_Inventario_Inicial'!$D$11:$D$510,$A105))</f>
        <v/>
      </c>
      <c r="F105" s="30">
        <f>IF($A105="","",SUMIFS('3_Ventas_Diarias'!$E$11:$E$610,'3_Ventas_Diarias'!$C$11:$C$610,$A105))</f>
        <v/>
      </c>
      <c r="G105" s="31">
        <f>IF($A105="","",N($D105)+N($E105)-N($F105))</f>
        <v/>
      </c>
      <c r="H105" s="24" t="n"/>
      <c r="I105" s="32">
        <f>IF($A105="","",IF($G105&lt;=0,"🔴 SIN STOCK",IF($G105&lt;=$H105,"🟠 REPONER",IF($G105&lt;=$H105*1.5,"🟡 VIGILAR","🟢 OK"))))</f>
        <v/>
      </c>
      <c r="J105" s="33">
        <f>IF($A105="","",IFERROR(SUMIFS('1_Compras_e_Inventario_Inicial'!$I$11:$I$510,'1_Compras_e_Inventario_Inicial'!$D$11:$D$510,$A105)/SUMIFS('1_Compras_e_Inventario_Inicial'!$G$11:$G$510,'1_Compras_e_Inventario_Inicial'!$D$11:$D$510,$A105),0))</f>
        <v/>
      </c>
      <c r="K105" s="25" t="n"/>
      <c r="L105" s="33">
        <f>IF($A105="","",$G105*$J105)</f>
        <v/>
      </c>
      <c r="M105" s="33">
        <f>IF($A105="","",$G105*$K105)</f>
        <v/>
      </c>
      <c r="N105" s="34">
        <f>IF($A105="","",IFERROR(($K105-$J105)/$K105,0))</f>
        <v/>
      </c>
    </row>
    <row r="106">
      <c r="A106" s="22" t="n"/>
      <c r="B106" s="23" t="n"/>
      <c r="C106" s="22" t="n"/>
      <c r="D106" s="24" t="n"/>
      <c r="E106" s="30">
        <f>IF($A106="","",SUMIFS('1_Compras_e_Inventario_Inicial'!$G$11:$G$510,'1_Compras_e_Inventario_Inicial'!$D$11:$D$510,$A106))</f>
        <v/>
      </c>
      <c r="F106" s="30">
        <f>IF($A106="","",SUMIFS('3_Ventas_Diarias'!$E$11:$E$610,'3_Ventas_Diarias'!$C$11:$C$610,$A106))</f>
        <v/>
      </c>
      <c r="G106" s="31">
        <f>IF($A106="","",N($D106)+N($E106)-N($F106))</f>
        <v/>
      </c>
      <c r="H106" s="24" t="n"/>
      <c r="I106" s="32">
        <f>IF($A106="","",IF($G106&lt;=0,"🔴 SIN STOCK",IF($G106&lt;=$H106,"🟠 REPONER",IF($G106&lt;=$H106*1.5,"🟡 VIGILAR","🟢 OK"))))</f>
        <v/>
      </c>
      <c r="J106" s="33">
        <f>IF($A106="","",IFERROR(SUMIFS('1_Compras_e_Inventario_Inicial'!$I$11:$I$510,'1_Compras_e_Inventario_Inicial'!$D$11:$D$510,$A106)/SUMIFS('1_Compras_e_Inventario_Inicial'!$G$11:$G$510,'1_Compras_e_Inventario_Inicial'!$D$11:$D$510,$A106),0))</f>
        <v/>
      </c>
      <c r="K106" s="25" t="n"/>
      <c r="L106" s="33">
        <f>IF($A106="","",$G106*$J106)</f>
        <v/>
      </c>
      <c r="M106" s="33">
        <f>IF($A106="","",$G106*$K106)</f>
        <v/>
      </c>
      <c r="N106" s="34">
        <f>IF($A106="","",IFERROR(($K106-$J106)/$K106,0))</f>
        <v/>
      </c>
    </row>
    <row r="107">
      <c r="A107" s="22" t="n"/>
      <c r="B107" s="23" t="n"/>
      <c r="C107" s="22" t="n"/>
      <c r="D107" s="24" t="n"/>
      <c r="E107" s="30">
        <f>IF($A107="","",SUMIFS('1_Compras_e_Inventario_Inicial'!$G$11:$G$510,'1_Compras_e_Inventario_Inicial'!$D$11:$D$510,$A107))</f>
        <v/>
      </c>
      <c r="F107" s="30">
        <f>IF($A107="","",SUMIFS('3_Ventas_Diarias'!$E$11:$E$610,'3_Ventas_Diarias'!$C$11:$C$610,$A107))</f>
        <v/>
      </c>
      <c r="G107" s="31">
        <f>IF($A107="","",N($D107)+N($E107)-N($F107))</f>
        <v/>
      </c>
      <c r="H107" s="24" t="n"/>
      <c r="I107" s="32">
        <f>IF($A107="","",IF($G107&lt;=0,"🔴 SIN STOCK",IF($G107&lt;=$H107,"🟠 REPONER",IF($G107&lt;=$H107*1.5,"🟡 VIGILAR","🟢 OK"))))</f>
        <v/>
      </c>
      <c r="J107" s="33">
        <f>IF($A107="","",IFERROR(SUMIFS('1_Compras_e_Inventario_Inicial'!$I$11:$I$510,'1_Compras_e_Inventario_Inicial'!$D$11:$D$510,$A107)/SUMIFS('1_Compras_e_Inventario_Inicial'!$G$11:$G$510,'1_Compras_e_Inventario_Inicial'!$D$11:$D$510,$A107),0))</f>
        <v/>
      </c>
      <c r="K107" s="25" t="n"/>
      <c r="L107" s="33">
        <f>IF($A107="","",$G107*$J107)</f>
        <v/>
      </c>
      <c r="M107" s="33">
        <f>IF($A107="","",$G107*$K107)</f>
        <v/>
      </c>
      <c r="N107" s="34">
        <f>IF($A107="","",IFERROR(($K107-$J107)/$K107,0))</f>
        <v/>
      </c>
    </row>
    <row r="108">
      <c r="A108" s="22" t="n"/>
      <c r="B108" s="23" t="n"/>
      <c r="C108" s="22" t="n"/>
      <c r="D108" s="24" t="n"/>
      <c r="E108" s="30">
        <f>IF($A108="","",SUMIFS('1_Compras_e_Inventario_Inicial'!$G$11:$G$510,'1_Compras_e_Inventario_Inicial'!$D$11:$D$510,$A108))</f>
        <v/>
      </c>
      <c r="F108" s="30">
        <f>IF($A108="","",SUMIFS('3_Ventas_Diarias'!$E$11:$E$610,'3_Ventas_Diarias'!$C$11:$C$610,$A108))</f>
        <v/>
      </c>
      <c r="G108" s="31">
        <f>IF($A108="","",N($D108)+N($E108)-N($F108))</f>
        <v/>
      </c>
      <c r="H108" s="24" t="n"/>
      <c r="I108" s="32">
        <f>IF($A108="","",IF($G108&lt;=0,"🔴 SIN STOCK",IF($G108&lt;=$H108,"🟠 REPONER",IF($G108&lt;=$H108*1.5,"🟡 VIGILAR","🟢 OK"))))</f>
        <v/>
      </c>
      <c r="J108" s="33">
        <f>IF($A108="","",IFERROR(SUMIFS('1_Compras_e_Inventario_Inicial'!$I$11:$I$510,'1_Compras_e_Inventario_Inicial'!$D$11:$D$510,$A108)/SUMIFS('1_Compras_e_Inventario_Inicial'!$G$11:$G$510,'1_Compras_e_Inventario_Inicial'!$D$11:$D$510,$A108),0))</f>
        <v/>
      </c>
      <c r="K108" s="25" t="n"/>
      <c r="L108" s="33">
        <f>IF($A108="","",$G108*$J108)</f>
        <v/>
      </c>
      <c r="M108" s="33">
        <f>IF($A108="","",$G108*$K108)</f>
        <v/>
      </c>
      <c r="N108" s="34">
        <f>IF($A108="","",IFERROR(($K108-$J108)/$K108,0))</f>
        <v/>
      </c>
    </row>
    <row r="109">
      <c r="A109" s="22" t="n"/>
      <c r="B109" s="23" t="n"/>
      <c r="C109" s="22" t="n"/>
      <c r="D109" s="24" t="n"/>
      <c r="E109" s="30">
        <f>IF($A109="","",SUMIFS('1_Compras_e_Inventario_Inicial'!$G$11:$G$510,'1_Compras_e_Inventario_Inicial'!$D$11:$D$510,$A109))</f>
        <v/>
      </c>
      <c r="F109" s="30">
        <f>IF($A109="","",SUMIFS('3_Ventas_Diarias'!$E$11:$E$610,'3_Ventas_Diarias'!$C$11:$C$610,$A109))</f>
        <v/>
      </c>
      <c r="G109" s="31">
        <f>IF($A109="","",N($D109)+N($E109)-N($F109))</f>
        <v/>
      </c>
      <c r="H109" s="24" t="n"/>
      <c r="I109" s="32">
        <f>IF($A109="","",IF($G109&lt;=0,"🔴 SIN STOCK",IF($G109&lt;=$H109,"🟠 REPONER",IF($G109&lt;=$H109*1.5,"🟡 VIGILAR","🟢 OK"))))</f>
        <v/>
      </c>
      <c r="J109" s="33">
        <f>IF($A109="","",IFERROR(SUMIFS('1_Compras_e_Inventario_Inicial'!$I$11:$I$510,'1_Compras_e_Inventario_Inicial'!$D$11:$D$510,$A109)/SUMIFS('1_Compras_e_Inventario_Inicial'!$G$11:$G$510,'1_Compras_e_Inventario_Inicial'!$D$11:$D$510,$A109),0))</f>
        <v/>
      </c>
      <c r="K109" s="25" t="n"/>
      <c r="L109" s="33">
        <f>IF($A109="","",$G109*$J109)</f>
        <v/>
      </c>
      <c r="M109" s="33">
        <f>IF($A109="","",$G109*$K109)</f>
        <v/>
      </c>
      <c r="N109" s="34">
        <f>IF($A109="","",IFERROR(($K109-$J109)/$K109,0))</f>
        <v/>
      </c>
    </row>
    <row r="110">
      <c r="A110" s="22" t="n"/>
      <c r="B110" s="23" t="n"/>
      <c r="C110" s="22" t="n"/>
      <c r="D110" s="24" t="n"/>
      <c r="E110" s="30">
        <f>IF($A110="","",SUMIFS('1_Compras_e_Inventario_Inicial'!$G$11:$G$510,'1_Compras_e_Inventario_Inicial'!$D$11:$D$510,$A110))</f>
        <v/>
      </c>
      <c r="F110" s="30">
        <f>IF($A110="","",SUMIFS('3_Ventas_Diarias'!$E$11:$E$610,'3_Ventas_Diarias'!$C$11:$C$610,$A110))</f>
        <v/>
      </c>
      <c r="G110" s="31">
        <f>IF($A110="","",N($D110)+N($E110)-N($F110))</f>
        <v/>
      </c>
      <c r="H110" s="24" t="n"/>
      <c r="I110" s="32">
        <f>IF($A110="","",IF($G110&lt;=0,"🔴 SIN STOCK",IF($G110&lt;=$H110,"🟠 REPONER",IF($G110&lt;=$H110*1.5,"🟡 VIGILAR","🟢 OK"))))</f>
        <v/>
      </c>
      <c r="J110" s="33">
        <f>IF($A110="","",IFERROR(SUMIFS('1_Compras_e_Inventario_Inicial'!$I$11:$I$510,'1_Compras_e_Inventario_Inicial'!$D$11:$D$510,$A110)/SUMIFS('1_Compras_e_Inventario_Inicial'!$G$11:$G$510,'1_Compras_e_Inventario_Inicial'!$D$11:$D$510,$A110),0))</f>
        <v/>
      </c>
      <c r="K110" s="25" t="n"/>
      <c r="L110" s="33">
        <f>IF($A110="","",$G110*$J110)</f>
        <v/>
      </c>
      <c r="M110" s="33">
        <f>IF($A110="","",$G110*$K110)</f>
        <v/>
      </c>
      <c r="N110" s="34">
        <f>IF($A110="","",IFERROR(($K110-$J110)/$K110,0))</f>
        <v/>
      </c>
    </row>
    <row r="111">
      <c r="A111" s="22" t="n"/>
      <c r="B111" s="23" t="n"/>
      <c r="C111" s="22" t="n"/>
      <c r="D111" s="24" t="n"/>
      <c r="E111" s="30">
        <f>IF($A111="","",SUMIFS('1_Compras_e_Inventario_Inicial'!$G$11:$G$510,'1_Compras_e_Inventario_Inicial'!$D$11:$D$510,$A111))</f>
        <v/>
      </c>
      <c r="F111" s="30">
        <f>IF($A111="","",SUMIFS('3_Ventas_Diarias'!$E$11:$E$610,'3_Ventas_Diarias'!$C$11:$C$610,$A111))</f>
        <v/>
      </c>
      <c r="G111" s="31">
        <f>IF($A111="","",N($D111)+N($E111)-N($F111))</f>
        <v/>
      </c>
      <c r="H111" s="24" t="n"/>
      <c r="I111" s="32">
        <f>IF($A111="","",IF($G111&lt;=0,"🔴 SIN STOCK",IF($G111&lt;=$H111,"🟠 REPONER",IF($G111&lt;=$H111*1.5,"🟡 VIGILAR","🟢 OK"))))</f>
        <v/>
      </c>
      <c r="J111" s="33">
        <f>IF($A111="","",IFERROR(SUMIFS('1_Compras_e_Inventario_Inicial'!$I$11:$I$510,'1_Compras_e_Inventario_Inicial'!$D$11:$D$510,$A111)/SUMIFS('1_Compras_e_Inventario_Inicial'!$G$11:$G$510,'1_Compras_e_Inventario_Inicial'!$D$11:$D$510,$A111),0))</f>
        <v/>
      </c>
      <c r="K111" s="25" t="n"/>
      <c r="L111" s="33">
        <f>IF($A111="","",$G111*$J111)</f>
        <v/>
      </c>
      <c r="M111" s="33">
        <f>IF($A111="","",$G111*$K111)</f>
        <v/>
      </c>
      <c r="N111" s="34">
        <f>IF($A111="","",IFERROR(($K111-$J111)/$K111,0))</f>
        <v/>
      </c>
    </row>
    <row r="112">
      <c r="A112" s="22" t="n"/>
      <c r="B112" s="23" t="n"/>
      <c r="C112" s="22" t="n"/>
      <c r="D112" s="24" t="n"/>
      <c r="E112" s="30">
        <f>IF($A112="","",SUMIFS('1_Compras_e_Inventario_Inicial'!$G$11:$G$510,'1_Compras_e_Inventario_Inicial'!$D$11:$D$510,$A112))</f>
        <v/>
      </c>
      <c r="F112" s="30">
        <f>IF($A112="","",SUMIFS('3_Ventas_Diarias'!$E$11:$E$610,'3_Ventas_Diarias'!$C$11:$C$610,$A112))</f>
        <v/>
      </c>
      <c r="G112" s="31">
        <f>IF($A112="","",N($D112)+N($E112)-N($F112))</f>
        <v/>
      </c>
      <c r="H112" s="24" t="n"/>
      <c r="I112" s="32">
        <f>IF($A112="","",IF($G112&lt;=0,"🔴 SIN STOCK",IF($G112&lt;=$H112,"🟠 REPONER",IF($G112&lt;=$H112*1.5,"🟡 VIGILAR","🟢 OK"))))</f>
        <v/>
      </c>
      <c r="J112" s="33">
        <f>IF($A112="","",IFERROR(SUMIFS('1_Compras_e_Inventario_Inicial'!$I$11:$I$510,'1_Compras_e_Inventario_Inicial'!$D$11:$D$510,$A112)/SUMIFS('1_Compras_e_Inventario_Inicial'!$G$11:$G$510,'1_Compras_e_Inventario_Inicial'!$D$11:$D$510,$A112),0))</f>
        <v/>
      </c>
      <c r="K112" s="25" t="n"/>
      <c r="L112" s="33">
        <f>IF($A112="","",$G112*$J112)</f>
        <v/>
      </c>
      <c r="M112" s="33">
        <f>IF($A112="","",$G112*$K112)</f>
        <v/>
      </c>
      <c r="N112" s="34">
        <f>IF($A112="","",IFERROR(($K112-$J112)/$K112,0))</f>
        <v/>
      </c>
    </row>
    <row r="113">
      <c r="A113" s="22" t="n"/>
      <c r="B113" s="23" t="n"/>
      <c r="C113" s="22" t="n"/>
      <c r="D113" s="24" t="n"/>
      <c r="E113" s="30">
        <f>IF($A113="","",SUMIFS('1_Compras_e_Inventario_Inicial'!$G$11:$G$510,'1_Compras_e_Inventario_Inicial'!$D$11:$D$510,$A113))</f>
        <v/>
      </c>
      <c r="F113" s="30">
        <f>IF($A113="","",SUMIFS('3_Ventas_Diarias'!$E$11:$E$610,'3_Ventas_Diarias'!$C$11:$C$610,$A113))</f>
        <v/>
      </c>
      <c r="G113" s="31">
        <f>IF($A113="","",N($D113)+N($E113)-N($F113))</f>
        <v/>
      </c>
      <c r="H113" s="24" t="n"/>
      <c r="I113" s="32">
        <f>IF($A113="","",IF($G113&lt;=0,"🔴 SIN STOCK",IF($G113&lt;=$H113,"🟠 REPONER",IF($G113&lt;=$H113*1.5,"🟡 VIGILAR","🟢 OK"))))</f>
        <v/>
      </c>
      <c r="J113" s="33">
        <f>IF($A113="","",IFERROR(SUMIFS('1_Compras_e_Inventario_Inicial'!$I$11:$I$510,'1_Compras_e_Inventario_Inicial'!$D$11:$D$510,$A113)/SUMIFS('1_Compras_e_Inventario_Inicial'!$G$11:$G$510,'1_Compras_e_Inventario_Inicial'!$D$11:$D$510,$A113),0))</f>
        <v/>
      </c>
      <c r="K113" s="25" t="n"/>
      <c r="L113" s="33">
        <f>IF($A113="","",$G113*$J113)</f>
        <v/>
      </c>
      <c r="M113" s="33">
        <f>IF($A113="","",$G113*$K113)</f>
        <v/>
      </c>
      <c r="N113" s="34">
        <f>IF($A113="","",IFERROR(($K113-$J113)/$K113,0))</f>
        <v/>
      </c>
    </row>
    <row r="114">
      <c r="A114" s="22" t="n"/>
      <c r="B114" s="23" t="n"/>
      <c r="C114" s="22" t="n"/>
      <c r="D114" s="24" t="n"/>
      <c r="E114" s="30">
        <f>IF($A114="","",SUMIFS('1_Compras_e_Inventario_Inicial'!$G$11:$G$510,'1_Compras_e_Inventario_Inicial'!$D$11:$D$510,$A114))</f>
        <v/>
      </c>
      <c r="F114" s="30">
        <f>IF($A114="","",SUMIFS('3_Ventas_Diarias'!$E$11:$E$610,'3_Ventas_Diarias'!$C$11:$C$610,$A114))</f>
        <v/>
      </c>
      <c r="G114" s="31">
        <f>IF($A114="","",N($D114)+N($E114)-N($F114))</f>
        <v/>
      </c>
      <c r="H114" s="24" t="n"/>
      <c r="I114" s="32">
        <f>IF($A114="","",IF($G114&lt;=0,"🔴 SIN STOCK",IF($G114&lt;=$H114,"🟠 REPONER",IF($G114&lt;=$H114*1.5,"🟡 VIGILAR","🟢 OK"))))</f>
        <v/>
      </c>
      <c r="J114" s="33">
        <f>IF($A114="","",IFERROR(SUMIFS('1_Compras_e_Inventario_Inicial'!$I$11:$I$510,'1_Compras_e_Inventario_Inicial'!$D$11:$D$510,$A114)/SUMIFS('1_Compras_e_Inventario_Inicial'!$G$11:$G$510,'1_Compras_e_Inventario_Inicial'!$D$11:$D$510,$A114),0))</f>
        <v/>
      </c>
      <c r="K114" s="25" t="n"/>
      <c r="L114" s="33">
        <f>IF($A114="","",$G114*$J114)</f>
        <v/>
      </c>
      <c r="M114" s="33">
        <f>IF($A114="","",$G114*$K114)</f>
        <v/>
      </c>
      <c r="N114" s="34">
        <f>IF($A114="","",IFERROR(($K114-$J114)/$K114,0))</f>
        <v/>
      </c>
    </row>
    <row r="115">
      <c r="A115" s="22" t="n"/>
      <c r="B115" s="23" t="n"/>
      <c r="C115" s="22" t="n"/>
      <c r="D115" s="24" t="n"/>
      <c r="E115" s="30">
        <f>IF($A115="","",SUMIFS('1_Compras_e_Inventario_Inicial'!$G$11:$G$510,'1_Compras_e_Inventario_Inicial'!$D$11:$D$510,$A115))</f>
        <v/>
      </c>
      <c r="F115" s="30">
        <f>IF($A115="","",SUMIFS('3_Ventas_Diarias'!$E$11:$E$610,'3_Ventas_Diarias'!$C$11:$C$610,$A115))</f>
        <v/>
      </c>
      <c r="G115" s="31">
        <f>IF($A115="","",N($D115)+N($E115)-N($F115))</f>
        <v/>
      </c>
      <c r="H115" s="24" t="n"/>
      <c r="I115" s="32">
        <f>IF($A115="","",IF($G115&lt;=0,"🔴 SIN STOCK",IF($G115&lt;=$H115,"🟠 REPONER",IF($G115&lt;=$H115*1.5,"🟡 VIGILAR","🟢 OK"))))</f>
        <v/>
      </c>
      <c r="J115" s="33">
        <f>IF($A115="","",IFERROR(SUMIFS('1_Compras_e_Inventario_Inicial'!$I$11:$I$510,'1_Compras_e_Inventario_Inicial'!$D$11:$D$510,$A115)/SUMIFS('1_Compras_e_Inventario_Inicial'!$G$11:$G$510,'1_Compras_e_Inventario_Inicial'!$D$11:$D$510,$A115),0))</f>
        <v/>
      </c>
      <c r="K115" s="25" t="n"/>
      <c r="L115" s="33">
        <f>IF($A115="","",$G115*$J115)</f>
        <v/>
      </c>
      <c r="M115" s="33">
        <f>IF($A115="","",$G115*$K115)</f>
        <v/>
      </c>
      <c r="N115" s="34">
        <f>IF($A115="","",IFERROR(($K115-$J115)/$K115,0))</f>
        <v/>
      </c>
    </row>
    <row r="116">
      <c r="A116" s="22" t="n"/>
      <c r="B116" s="23" t="n"/>
      <c r="C116" s="22" t="n"/>
      <c r="D116" s="24" t="n"/>
      <c r="E116" s="30">
        <f>IF($A116="","",SUMIFS('1_Compras_e_Inventario_Inicial'!$G$11:$G$510,'1_Compras_e_Inventario_Inicial'!$D$11:$D$510,$A116))</f>
        <v/>
      </c>
      <c r="F116" s="30">
        <f>IF($A116="","",SUMIFS('3_Ventas_Diarias'!$E$11:$E$610,'3_Ventas_Diarias'!$C$11:$C$610,$A116))</f>
        <v/>
      </c>
      <c r="G116" s="31">
        <f>IF($A116="","",N($D116)+N($E116)-N($F116))</f>
        <v/>
      </c>
      <c r="H116" s="24" t="n"/>
      <c r="I116" s="32">
        <f>IF($A116="","",IF($G116&lt;=0,"🔴 SIN STOCK",IF($G116&lt;=$H116,"🟠 REPONER",IF($G116&lt;=$H116*1.5,"🟡 VIGILAR","🟢 OK"))))</f>
        <v/>
      </c>
      <c r="J116" s="33">
        <f>IF($A116="","",IFERROR(SUMIFS('1_Compras_e_Inventario_Inicial'!$I$11:$I$510,'1_Compras_e_Inventario_Inicial'!$D$11:$D$510,$A116)/SUMIFS('1_Compras_e_Inventario_Inicial'!$G$11:$G$510,'1_Compras_e_Inventario_Inicial'!$D$11:$D$510,$A116),0))</f>
        <v/>
      </c>
      <c r="K116" s="25" t="n"/>
      <c r="L116" s="33">
        <f>IF($A116="","",$G116*$J116)</f>
        <v/>
      </c>
      <c r="M116" s="33">
        <f>IF($A116="","",$G116*$K116)</f>
        <v/>
      </c>
      <c r="N116" s="34">
        <f>IF($A116="","",IFERROR(($K116-$J116)/$K116,0))</f>
        <v/>
      </c>
    </row>
    <row r="117">
      <c r="A117" s="22" t="n"/>
      <c r="B117" s="23" t="n"/>
      <c r="C117" s="22" t="n"/>
      <c r="D117" s="24" t="n"/>
      <c r="E117" s="30">
        <f>IF($A117="","",SUMIFS('1_Compras_e_Inventario_Inicial'!$G$11:$G$510,'1_Compras_e_Inventario_Inicial'!$D$11:$D$510,$A117))</f>
        <v/>
      </c>
      <c r="F117" s="30">
        <f>IF($A117="","",SUMIFS('3_Ventas_Diarias'!$E$11:$E$610,'3_Ventas_Diarias'!$C$11:$C$610,$A117))</f>
        <v/>
      </c>
      <c r="G117" s="31">
        <f>IF($A117="","",N($D117)+N($E117)-N($F117))</f>
        <v/>
      </c>
      <c r="H117" s="24" t="n"/>
      <c r="I117" s="32">
        <f>IF($A117="","",IF($G117&lt;=0,"🔴 SIN STOCK",IF($G117&lt;=$H117,"🟠 REPONER",IF($G117&lt;=$H117*1.5,"🟡 VIGILAR","🟢 OK"))))</f>
        <v/>
      </c>
      <c r="J117" s="33">
        <f>IF($A117="","",IFERROR(SUMIFS('1_Compras_e_Inventario_Inicial'!$I$11:$I$510,'1_Compras_e_Inventario_Inicial'!$D$11:$D$510,$A117)/SUMIFS('1_Compras_e_Inventario_Inicial'!$G$11:$G$510,'1_Compras_e_Inventario_Inicial'!$D$11:$D$510,$A117),0))</f>
        <v/>
      </c>
      <c r="K117" s="25" t="n"/>
      <c r="L117" s="33">
        <f>IF($A117="","",$G117*$J117)</f>
        <v/>
      </c>
      <c r="M117" s="33">
        <f>IF($A117="","",$G117*$K117)</f>
        <v/>
      </c>
      <c r="N117" s="34">
        <f>IF($A117="","",IFERROR(($K117-$J117)/$K117,0))</f>
        <v/>
      </c>
    </row>
    <row r="118">
      <c r="A118" s="22" t="n"/>
      <c r="B118" s="23" t="n"/>
      <c r="C118" s="22" t="n"/>
      <c r="D118" s="24" t="n"/>
      <c r="E118" s="30">
        <f>IF($A118="","",SUMIFS('1_Compras_e_Inventario_Inicial'!$G$11:$G$510,'1_Compras_e_Inventario_Inicial'!$D$11:$D$510,$A118))</f>
        <v/>
      </c>
      <c r="F118" s="30">
        <f>IF($A118="","",SUMIFS('3_Ventas_Diarias'!$E$11:$E$610,'3_Ventas_Diarias'!$C$11:$C$610,$A118))</f>
        <v/>
      </c>
      <c r="G118" s="31">
        <f>IF($A118="","",N($D118)+N($E118)-N($F118))</f>
        <v/>
      </c>
      <c r="H118" s="24" t="n"/>
      <c r="I118" s="32">
        <f>IF($A118="","",IF($G118&lt;=0,"🔴 SIN STOCK",IF($G118&lt;=$H118,"🟠 REPONER",IF($G118&lt;=$H118*1.5,"🟡 VIGILAR","🟢 OK"))))</f>
        <v/>
      </c>
      <c r="J118" s="33">
        <f>IF($A118="","",IFERROR(SUMIFS('1_Compras_e_Inventario_Inicial'!$I$11:$I$510,'1_Compras_e_Inventario_Inicial'!$D$11:$D$510,$A118)/SUMIFS('1_Compras_e_Inventario_Inicial'!$G$11:$G$510,'1_Compras_e_Inventario_Inicial'!$D$11:$D$510,$A118),0))</f>
        <v/>
      </c>
      <c r="K118" s="25" t="n"/>
      <c r="L118" s="33">
        <f>IF($A118="","",$G118*$J118)</f>
        <v/>
      </c>
      <c r="M118" s="33">
        <f>IF($A118="","",$G118*$K118)</f>
        <v/>
      </c>
      <c r="N118" s="34">
        <f>IF($A118="","",IFERROR(($K118-$J118)/$K118,0))</f>
        <v/>
      </c>
    </row>
    <row r="119">
      <c r="A119" s="22" t="n"/>
      <c r="B119" s="23" t="n"/>
      <c r="C119" s="22" t="n"/>
      <c r="D119" s="24" t="n"/>
      <c r="E119" s="30">
        <f>IF($A119="","",SUMIFS('1_Compras_e_Inventario_Inicial'!$G$11:$G$510,'1_Compras_e_Inventario_Inicial'!$D$11:$D$510,$A119))</f>
        <v/>
      </c>
      <c r="F119" s="30">
        <f>IF($A119="","",SUMIFS('3_Ventas_Diarias'!$E$11:$E$610,'3_Ventas_Diarias'!$C$11:$C$610,$A119))</f>
        <v/>
      </c>
      <c r="G119" s="31">
        <f>IF($A119="","",N($D119)+N($E119)-N($F119))</f>
        <v/>
      </c>
      <c r="H119" s="24" t="n"/>
      <c r="I119" s="32">
        <f>IF($A119="","",IF($G119&lt;=0,"🔴 SIN STOCK",IF($G119&lt;=$H119,"🟠 REPONER",IF($G119&lt;=$H119*1.5,"🟡 VIGILAR","🟢 OK"))))</f>
        <v/>
      </c>
      <c r="J119" s="33">
        <f>IF($A119="","",IFERROR(SUMIFS('1_Compras_e_Inventario_Inicial'!$I$11:$I$510,'1_Compras_e_Inventario_Inicial'!$D$11:$D$510,$A119)/SUMIFS('1_Compras_e_Inventario_Inicial'!$G$11:$G$510,'1_Compras_e_Inventario_Inicial'!$D$11:$D$510,$A119),0))</f>
        <v/>
      </c>
      <c r="K119" s="25" t="n"/>
      <c r="L119" s="33">
        <f>IF($A119="","",$G119*$J119)</f>
        <v/>
      </c>
      <c r="M119" s="33">
        <f>IF($A119="","",$G119*$K119)</f>
        <v/>
      </c>
      <c r="N119" s="34">
        <f>IF($A119="","",IFERROR(($K119-$J119)/$K119,0))</f>
        <v/>
      </c>
    </row>
    <row r="120">
      <c r="A120" s="22" t="n"/>
      <c r="B120" s="23" t="n"/>
      <c r="C120" s="22" t="n"/>
      <c r="D120" s="24" t="n"/>
      <c r="E120" s="30">
        <f>IF($A120="","",SUMIFS('1_Compras_e_Inventario_Inicial'!$G$11:$G$510,'1_Compras_e_Inventario_Inicial'!$D$11:$D$510,$A120))</f>
        <v/>
      </c>
      <c r="F120" s="30">
        <f>IF($A120="","",SUMIFS('3_Ventas_Diarias'!$E$11:$E$610,'3_Ventas_Diarias'!$C$11:$C$610,$A120))</f>
        <v/>
      </c>
      <c r="G120" s="31">
        <f>IF($A120="","",N($D120)+N($E120)-N($F120))</f>
        <v/>
      </c>
      <c r="H120" s="24" t="n"/>
      <c r="I120" s="32">
        <f>IF($A120="","",IF($G120&lt;=0,"🔴 SIN STOCK",IF($G120&lt;=$H120,"🟠 REPONER",IF($G120&lt;=$H120*1.5,"🟡 VIGILAR","🟢 OK"))))</f>
        <v/>
      </c>
      <c r="J120" s="33">
        <f>IF($A120="","",IFERROR(SUMIFS('1_Compras_e_Inventario_Inicial'!$I$11:$I$510,'1_Compras_e_Inventario_Inicial'!$D$11:$D$510,$A120)/SUMIFS('1_Compras_e_Inventario_Inicial'!$G$11:$G$510,'1_Compras_e_Inventario_Inicial'!$D$11:$D$510,$A120),0))</f>
        <v/>
      </c>
      <c r="K120" s="25" t="n"/>
      <c r="L120" s="33">
        <f>IF($A120="","",$G120*$J120)</f>
        <v/>
      </c>
      <c r="M120" s="33">
        <f>IF($A120="","",$G120*$K120)</f>
        <v/>
      </c>
      <c r="N120" s="34">
        <f>IF($A120="","",IFERROR(($K120-$J120)/$K120,0))</f>
        <v/>
      </c>
    </row>
    <row r="121">
      <c r="A121" s="22" t="n"/>
      <c r="B121" s="23" t="n"/>
      <c r="C121" s="22" t="n"/>
      <c r="D121" s="24" t="n"/>
      <c r="E121" s="30">
        <f>IF($A121="","",SUMIFS('1_Compras_e_Inventario_Inicial'!$G$11:$G$510,'1_Compras_e_Inventario_Inicial'!$D$11:$D$510,$A121))</f>
        <v/>
      </c>
      <c r="F121" s="30">
        <f>IF($A121="","",SUMIFS('3_Ventas_Diarias'!$E$11:$E$610,'3_Ventas_Diarias'!$C$11:$C$610,$A121))</f>
        <v/>
      </c>
      <c r="G121" s="31">
        <f>IF($A121="","",N($D121)+N($E121)-N($F121))</f>
        <v/>
      </c>
      <c r="H121" s="24" t="n"/>
      <c r="I121" s="32">
        <f>IF($A121="","",IF($G121&lt;=0,"🔴 SIN STOCK",IF($G121&lt;=$H121,"🟠 REPONER",IF($G121&lt;=$H121*1.5,"🟡 VIGILAR","🟢 OK"))))</f>
        <v/>
      </c>
      <c r="J121" s="33">
        <f>IF($A121="","",IFERROR(SUMIFS('1_Compras_e_Inventario_Inicial'!$I$11:$I$510,'1_Compras_e_Inventario_Inicial'!$D$11:$D$510,$A121)/SUMIFS('1_Compras_e_Inventario_Inicial'!$G$11:$G$510,'1_Compras_e_Inventario_Inicial'!$D$11:$D$510,$A121),0))</f>
        <v/>
      </c>
      <c r="K121" s="25" t="n"/>
      <c r="L121" s="33">
        <f>IF($A121="","",$G121*$J121)</f>
        <v/>
      </c>
      <c r="M121" s="33">
        <f>IF($A121="","",$G121*$K121)</f>
        <v/>
      </c>
      <c r="N121" s="34">
        <f>IF($A121="","",IFERROR(($K121-$J121)/$K121,0))</f>
        <v/>
      </c>
    </row>
    <row r="122">
      <c r="A122" s="22" t="n"/>
      <c r="B122" s="23" t="n"/>
      <c r="C122" s="22" t="n"/>
      <c r="D122" s="24" t="n"/>
      <c r="E122" s="30">
        <f>IF($A122="","",SUMIFS('1_Compras_e_Inventario_Inicial'!$G$11:$G$510,'1_Compras_e_Inventario_Inicial'!$D$11:$D$510,$A122))</f>
        <v/>
      </c>
      <c r="F122" s="30">
        <f>IF($A122="","",SUMIFS('3_Ventas_Diarias'!$E$11:$E$610,'3_Ventas_Diarias'!$C$11:$C$610,$A122))</f>
        <v/>
      </c>
      <c r="G122" s="31">
        <f>IF($A122="","",N($D122)+N($E122)-N($F122))</f>
        <v/>
      </c>
      <c r="H122" s="24" t="n"/>
      <c r="I122" s="32">
        <f>IF($A122="","",IF($G122&lt;=0,"🔴 SIN STOCK",IF($G122&lt;=$H122,"🟠 REPONER",IF($G122&lt;=$H122*1.5,"🟡 VIGILAR","🟢 OK"))))</f>
        <v/>
      </c>
      <c r="J122" s="33">
        <f>IF($A122="","",IFERROR(SUMIFS('1_Compras_e_Inventario_Inicial'!$I$11:$I$510,'1_Compras_e_Inventario_Inicial'!$D$11:$D$510,$A122)/SUMIFS('1_Compras_e_Inventario_Inicial'!$G$11:$G$510,'1_Compras_e_Inventario_Inicial'!$D$11:$D$510,$A122),0))</f>
        <v/>
      </c>
      <c r="K122" s="25" t="n"/>
      <c r="L122" s="33">
        <f>IF($A122="","",$G122*$J122)</f>
        <v/>
      </c>
      <c r="M122" s="33">
        <f>IF($A122="","",$G122*$K122)</f>
        <v/>
      </c>
      <c r="N122" s="34">
        <f>IF($A122="","",IFERROR(($K122-$J122)/$K122,0))</f>
        <v/>
      </c>
    </row>
    <row r="123">
      <c r="A123" s="22" t="n"/>
      <c r="B123" s="23" t="n"/>
      <c r="C123" s="22" t="n"/>
      <c r="D123" s="24" t="n"/>
      <c r="E123" s="30">
        <f>IF($A123="","",SUMIFS('1_Compras_e_Inventario_Inicial'!$G$11:$G$510,'1_Compras_e_Inventario_Inicial'!$D$11:$D$510,$A123))</f>
        <v/>
      </c>
      <c r="F123" s="30">
        <f>IF($A123="","",SUMIFS('3_Ventas_Diarias'!$E$11:$E$610,'3_Ventas_Diarias'!$C$11:$C$610,$A123))</f>
        <v/>
      </c>
      <c r="G123" s="31">
        <f>IF($A123="","",N($D123)+N($E123)-N($F123))</f>
        <v/>
      </c>
      <c r="H123" s="24" t="n"/>
      <c r="I123" s="32">
        <f>IF($A123="","",IF($G123&lt;=0,"🔴 SIN STOCK",IF($G123&lt;=$H123,"🟠 REPONER",IF($G123&lt;=$H123*1.5,"🟡 VIGILAR","🟢 OK"))))</f>
        <v/>
      </c>
      <c r="J123" s="33">
        <f>IF($A123="","",IFERROR(SUMIFS('1_Compras_e_Inventario_Inicial'!$I$11:$I$510,'1_Compras_e_Inventario_Inicial'!$D$11:$D$510,$A123)/SUMIFS('1_Compras_e_Inventario_Inicial'!$G$11:$G$510,'1_Compras_e_Inventario_Inicial'!$D$11:$D$510,$A123),0))</f>
        <v/>
      </c>
      <c r="K123" s="25" t="n"/>
      <c r="L123" s="33">
        <f>IF($A123="","",$G123*$J123)</f>
        <v/>
      </c>
      <c r="M123" s="33">
        <f>IF($A123="","",$G123*$K123)</f>
        <v/>
      </c>
      <c r="N123" s="34">
        <f>IF($A123="","",IFERROR(($K123-$J123)/$K123,0))</f>
        <v/>
      </c>
    </row>
    <row r="124">
      <c r="A124" s="22" t="n"/>
      <c r="B124" s="23" t="n"/>
      <c r="C124" s="22" t="n"/>
      <c r="D124" s="24" t="n"/>
      <c r="E124" s="30">
        <f>IF($A124="","",SUMIFS('1_Compras_e_Inventario_Inicial'!$G$11:$G$510,'1_Compras_e_Inventario_Inicial'!$D$11:$D$510,$A124))</f>
        <v/>
      </c>
      <c r="F124" s="30">
        <f>IF($A124="","",SUMIFS('3_Ventas_Diarias'!$E$11:$E$610,'3_Ventas_Diarias'!$C$11:$C$610,$A124))</f>
        <v/>
      </c>
      <c r="G124" s="31">
        <f>IF($A124="","",N($D124)+N($E124)-N($F124))</f>
        <v/>
      </c>
      <c r="H124" s="24" t="n"/>
      <c r="I124" s="32">
        <f>IF($A124="","",IF($G124&lt;=0,"🔴 SIN STOCK",IF($G124&lt;=$H124,"🟠 REPONER",IF($G124&lt;=$H124*1.5,"🟡 VIGILAR","🟢 OK"))))</f>
        <v/>
      </c>
      <c r="J124" s="33">
        <f>IF($A124="","",IFERROR(SUMIFS('1_Compras_e_Inventario_Inicial'!$I$11:$I$510,'1_Compras_e_Inventario_Inicial'!$D$11:$D$510,$A124)/SUMIFS('1_Compras_e_Inventario_Inicial'!$G$11:$G$510,'1_Compras_e_Inventario_Inicial'!$D$11:$D$510,$A124),0))</f>
        <v/>
      </c>
      <c r="K124" s="25" t="n"/>
      <c r="L124" s="33">
        <f>IF($A124="","",$G124*$J124)</f>
        <v/>
      </c>
      <c r="M124" s="33">
        <f>IF($A124="","",$G124*$K124)</f>
        <v/>
      </c>
      <c r="N124" s="34">
        <f>IF($A124="","",IFERROR(($K124-$J124)/$K124,0))</f>
        <v/>
      </c>
    </row>
    <row r="125">
      <c r="A125" s="22" t="n"/>
      <c r="B125" s="23" t="n"/>
      <c r="C125" s="22" t="n"/>
      <c r="D125" s="24" t="n"/>
      <c r="E125" s="30">
        <f>IF($A125="","",SUMIFS('1_Compras_e_Inventario_Inicial'!$G$11:$G$510,'1_Compras_e_Inventario_Inicial'!$D$11:$D$510,$A125))</f>
        <v/>
      </c>
      <c r="F125" s="30">
        <f>IF($A125="","",SUMIFS('3_Ventas_Diarias'!$E$11:$E$610,'3_Ventas_Diarias'!$C$11:$C$610,$A125))</f>
        <v/>
      </c>
      <c r="G125" s="31">
        <f>IF($A125="","",N($D125)+N($E125)-N($F125))</f>
        <v/>
      </c>
      <c r="H125" s="24" t="n"/>
      <c r="I125" s="32">
        <f>IF($A125="","",IF($G125&lt;=0,"🔴 SIN STOCK",IF($G125&lt;=$H125,"🟠 REPONER",IF($G125&lt;=$H125*1.5,"🟡 VIGILAR","🟢 OK"))))</f>
        <v/>
      </c>
      <c r="J125" s="33">
        <f>IF($A125="","",IFERROR(SUMIFS('1_Compras_e_Inventario_Inicial'!$I$11:$I$510,'1_Compras_e_Inventario_Inicial'!$D$11:$D$510,$A125)/SUMIFS('1_Compras_e_Inventario_Inicial'!$G$11:$G$510,'1_Compras_e_Inventario_Inicial'!$D$11:$D$510,$A125),0))</f>
        <v/>
      </c>
      <c r="K125" s="25" t="n"/>
      <c r="L125" s="33">
        <f>IF($A125="","",$G125*$J125)</f>
        <v/>
      </c>
      <c r="M125" s="33">
        <f>IF($A125="","",$G125*$K125)</f>
        <v/>
      </c>
      <c r="N125" s="34">
        <f>IF($A125="","",IFERROR(($K125-$J125)/$K125,0))</f>
        <v/>
      </c>
    </row>
    <row r="126">
      <c r="A126" s="22" t="n"/>
      <c r="B126" s="23" t="n"/>
      <c r="C126" s="22" t="n"/>
      <c r="D126" s="24" t="n"/>
      <c r="E126" s="30">
        <f>IF($A126="","",SUMIFS('1_Compras_e_Inventario_Inicial'!$G$11:$G$510,'1_Compras_e_Inventario_Inicial'!$D$11:$D$510,$A126))</f>
        <v/>
      </c>
      <c r="F126" s="30">
        <f>IF($A126="","",SUMIFS('3_Ventas_Diarias'!$E$11:$E$610,'3_Ventas_Diarias'!$C$11:$C$610,$A126))</f>
        <v/>
      </c>
      <c r="G126" s="31">
        <f>IF($A126="","",N($D126)+N($E126)-N($F126))</f>
        <v/>
      </c>
      <c r="H126" s="24" t="n"/>
      <c r="I126" s="32">
        <f>IF($A126="","",IF($G126&lt;=0,"🔴 SIN STOCK",IF($G126&lt;=$H126,"🟠 REPONER",IF($G126&lt;=$H126*1.5,"🟡 VIGILAR","🟢 OK"))))</f>
        <v/>
      </c>
      <c r="J126" s="33">
        <f>IF($A126="","",IFERROR(SUMIFS('1_Compras_e_Inventario_Inicial'!$I$11:$I$510,'1_Compras_e_Inventario_Inicial'!$D$11:$D$510,$A126)/SUMIFS('1_Compras_e_Inventario_Inicial'!$G$11:$G$510,'1_Compras_e_Inventario_Inicial'!$D$11:$D$510,$A126),0))</f>
        <v/>
      </c>
      <c r="K126" s="25" t="n"/>
      <c r="L126" s="33">
        <f>IF($A126="","",$G126*$J126)</f>
        <v/>
      </c>
      <c r="M126" s="33">
        <f>IF($A126="","",$G126*$K126)</f>
        <v/>
      </c>
      <c r="N126" s="34">
        <f>IF($A126="","",IFERROR(($K126-$J126)/$K126,0))</f>
        <v/>
      </c>
    </row>
    <row r="127">
      <c r="A127" s="22" t="n"/>
      <c r="B127" s="23" t="n"/>
      <c r="C127" s="22" t="n"/>
      <c r="D127" s="24" t="n"/>
      <c r="E127" s="30">
        <f>IF($A127="","",SUMIFS('1_Compras_e_Inventario_Inicial'!$G$11:$G$510,'1_Compras_e_Inventario_Inicial'!$D$11:$D$510,$A127))</f>
        <v/>
      </c>
      <c r="F127" s="30">
        <f>IF($A127="","",SUMIFS('3_Ventas_Diarias'!$E$11:$E$610,'3_Ventas_Diarias'!$C$11:$C$610,$A127))</f>
        <v/>
      </c>
      <c r="G127" s="31">
        <f>IF($A127="","",N($D127)+N($E127)-N($F127))</f>
        <v/>
      </c>
      <c r="H127" s="24" t="n"/>
      <c r="I127" s="32">
        <f>IF($A127="","",IF($G127&lt;=0,"🔴 SIN STOCK",IF($G127&lt;=$H127,"🟠 REPONER",IF($G127&lt;=$H127*1.5,"🟡 VIGILAR","🟢 OK"))))</f>
        <v/>
      </c>
      <c r="J127" s="33">
        <f>IF($A127="","",IFERROR(SUMIFS('1_Compras_e_Inventario_Inicial'!$I$11:$I$510,'1_Compras_e_Inventario_Inicial'!$D$11:$D$510,$A127)/SUMIFS('1_Compras_e_Inventario_Inicial'!$G$11:$G$510,'1_Compras_e_Inventario_Inicial'!$D$11:$D$510,$A127),0))</f>
        <v/>
      </c>
      <c r="K127" s="25" t="n"/>
      <c r="L127" s="33">
        <f>IF($A127="","",$G127*$J127)</f>
        <v/>
      </c>
      <c r="M127" s="33">
        <f>IF($A127="","",$G127*$K127)</f>
        <v/>
      </c>
      <c r="N127" s="34">
        <f>IF($A127="","",IFERROR(($K127-$J127)/$K127,0))</f>
        <v/>
      </c>
    </row>
    <row r="128">
      <c r="A128" s="22" t="n"/>
      <c r="B128" s="23" t="n"/>
      <c r="C128" s="22" t="n"/>
      <c r="D128" s="24" t="n"/>
      <c r="E128" s="30">
        <f>IF($A128="","",SUMIFS('1_Compras_e_Inventario_Inicial'!$G$11:$G$510,'1_Compras_e_Inventario_Inicial'!$D$11:$D$510,$A128))</f>
        <v/>
      </c>
      <c r="F128" s="30">
        <f>IF($A128="","",SUMIFS('3_Ventas_Diarias'!$E$11:$E$610,'3_Ventas_Diarias'!$C$11:$C$610,$A128))</f>
        <v/>
      </c>
      <c r="G128" s="31">
        <f>IF($A128="","",N($D128)+N($E128)-N($F128))</f>
        <v/>
      </c>
      <c r="H128" s="24" t="n"/>
      <c r="I128" s="32">
        <f>IF($A128="","",IF($G128&lt;=0,"🔴 SIN STOCK",IF($G128&lt;=$H128,"🟠 REPONER",IF($G128&lt;=$H128*1.5,"🟡 VIGILAR","🟢 OK"))))</f>
        <v/>
      </c>
      <c r="J128" s="33">
        <f>IF($A128="","",IFERROR(SUMIFS('1_Compras_e_Inventario_Inicial'!$I$11:$I$510,'1_Compras_e_Inventario_Inicial'!$D$11:$D$510,$A128)/SUMIFS('1_Compras_e_Inventario_Inicial'!$G$11:$G$510,'1_Compras_e_Inventario_Inicial'!$D$11:$D$510,$A128),0))</f>
        <v/>
      </c>
      <c r="K128" s="25" t="n"/>
      <c r="L128" s="33">
        <f>IF($A128="","",$G128*$J128)</f>
        <v/>
      </c>
      <c r="M128" s="33">
        <f>IF($A128="","",$G128*$K128)</f>
        <v/>
      </c>
      <c r="N128" s="34">
        <f>IF($A128="","",IFERROR(($K128-$J128)/$K128,0))</f>
        <v/>
      </c>
    </row>
    <row r="129">
      <c r="A129" s="22" t="n"/>
      <c r="B129" s="23" t="n"/>
      <c r="C129" s="22" t="n"/>
      <c r="D129" s="24" t="n"/>
      <c r="E129" s="30">
        <f>IF($A129="","",SUMIFS('1_Compras_e_Inventario_Inicial'!$G$11:$G$510,'1_Compras_e_Inventario_Inicial'!$D$11:$D$510,$A129))</f>
        <v/>
      </c>
      <c r="F129" s="30">
        <f>IF($A129="","",SUMIFS('3_Ventas_Diarias'!$E$11:$E$610,'3_Ventas_Diarias'!$C$11:$C$610,$A129))</f>
        <v/>
      </c>
      <c r="G129" s="31">
        <f>IF($A129="","",N($D129)+N($E129)-N($F129))</f>
        <v/>
      </c>
      <c r="H129" s="24" t="n"/>
      <c r="I129" s="32">
        <f>IF($A129="","",IF($G129&lt;=0,"🔴 SIN STOCK",IF($G129&lt;=$H129,"🟠 REPONER",IF($G129&lt;=$H129*1.5,"🟡 VIGILAR","🟢 OK"))))</f>
        <v/>
      </c>
      <c r="J129" s="33">
        <f>IF($A129="","",IFERROR(SUMIFS('1_Compras_e_Inventario_Inicial'!$I$11:$I$510,'1_Compras_e_Inventario_Inicial'!$D$11:$D$510,$A129)/SUMIFS('1_Compras_e_Inventario_Inicial'!$G$11:$G$510,'1_Compras_e_Inventario_Inicial'!$D$11:$D$510,$A129),0))</f>
        <v/>
      </c>
      <c r="K129" s="25" t="n"/>
      <c r="L129" s="33">
        <f>IF($A129="","",$G129*$J129)</f>
        <v/>
      </c>
      <c r="M129" s="33">
        <f>IF($A129="","",$G129*$K129)</f>
        <v/>
      </c>
      <c r="N129" s="34">
        <f>IF($A129="","",IFERROR(($K129-$J129)/$K129,0))</f>
        <v/>
      </c>
    </row>
    <row r="130">
      <c r="A130" s="22" t="n"/>
      <c r="B130" s="23" t="n"/>
      <c r="C130" s="22" t="n"/>
      <c r="D130" s="24" t="n"/>
      <c r="E130" s="30">
        <f>IF($A130="","",SUMIFS('1_Compras_e_Inventario_Inicial'!$G$11:$G$510,'1_Compras_e_Inventario_Inicial'!$D$11:$D$510,$A130))</f>
        <v/>
      </c>
      <c r="F130" s="30">
        <f>IF($A130="","",SUMIFS('3_Ventas_Diarias'!$E$11:$E$610,'3_Ventas_Diarias'!$C$11:$C$610,$A130))</f>
        <v/>
      </c>
      <c r="G130" s="31">
        <f>IF($A130="","",N($D130)+N($E130)-N($F130))</f>
        <v/>
      </c>
      <c r="H130" s="24" t="n"/>
      <c r="I130" s="32">
        <f>IF($A130="","",IF($G130&lt;=0,"🔴 SIN STOCK",IF($G130&lt;=$H130,"🟠 REPONER",IF($G130&lt;=$H130*1.5,"🟡 VIGILAR","🟢 OK"))))</f>
        <v/>
      </c>
      <c r="J130" s="33">
        <f>IF($A130="","",IFERROR(SUMIFS('1_Compras_e_Inventario_Inicial'!$I$11:$I$510,'1_Compras_e_Inventario_Inicial'!$D$11:$D$510,$A130)/SUMIFS('1_Compras_e_Inventario_Inicial'!$G$11:$G$510,'1_Compras_e_Inventario_Inicial'!$D$11:$D$510,$A130),0))</f>
        <v/>
      </c>
      <c r="K130" s="25" t="n"/>
      <c r="L130" s="33">
        <f>IF($A130="","",$G130*$J130)</f>
        <v/>
      </c>
      <c r="M130" s="33">
        <f>IF($A130="","",$G130*$K130)</f>
        <v/>
      </c>
      <c r="N130" s="34">
        <f>IF($A130="","",IFERROR(($K130-$J130)/$K130,0))</f>
        <v/>
      </c>
    </row>
    <row r="131">
      <c r="A131" s="22" t="n"/>
      <c r="B131" s="23" t="n"/>
      <c r="C131" s="22" t="n"/>
      <c r="D131" s="24" t="n"/>
      <c r="E131" s="30">
        <f>IF($A131="","",SUMIFS('1_Compras_e_Inventario_Inicial'!$G$11:$G$510,'1_Compras_e_Inventario_Inicial'!$D$11:$D$510,$A131))</f>
        <v/>
      </c>
      <c r="F131" s="30">
        <f>IF($A131="","",SUMIFS('3_Ventas_Diarias'!$E$11:$E$610,'3_Ventas_Diarias'!$C$11:$C$610,$A131))</f>
        <v/>
      </c>
      <c r="G131" s="31">
        <f>IF($A131="","",N($D131)+N($E131)-N($F131))</f>
        <v/>
      </c>
      <c r="H131" s="24" t="n"/>
      <c r="I131" s="32">
        <f>IF($A131="","",IF($G131&lt;=0,"🔴 SIN STOCK",IF($G131&lt;=$H131,"🟠 REPONER",IF($G131&lt;=$H131*1.5,"🟡 VIGILAR","🟢 OK"))))</f>
        <v/>
      </c>
      <c r="J131" s="33">
        <f>IF($A131="","",IFERROR(SUMIFS('1_Compras_e_Inventario_Inicial'!$I$11:$I$510,'1_Compras_e_Inventario_Inicial'!$D$11:$D$510,$A131)/SUMIFS('1_Compras_e_Inventario_Inicial'!$G$11:$G$510,'1_Compras_e_Inventario_Inicial'!$D$11:$D$510,$A131),0))</f>
        <v/>
      </c>
      <c r="K131" s="25" t="n"/>
      <c r="L131" s="33">
        <f>IF($A131="","",$G131*$J131)</f>
        <v/>
      </c>
      <c r="M131" s="33">
        <f>IF($A131="","",$G131*$K131)</f>
        <v/>
      </c>
      <c r="N131" s="34">
        <f>IF($A131="","",IFERROR(($K131-$J131)/$K131,0))</f>
        <v/>
      </c>
    </row>
    <row r="132">
      <c r="A132" s="22" t="n"/>
      <c r="B132" s="23" t="n"/>
      <c r="C132" s="22" t="n"/>
      <c r="D132" s="24" t="n"/>
      <c r="E132" s="30">
        <f>IF($A132="","",SUMIFS('1_Compras_e_Inventario_Inicial'!$G$11:$G$510,'1_Compras_e_Inventario_Inicial'!$D$11:$D$510,$A132))</f>
        <v/>
      </c>
      <c r="F132" s="30">
        <f>IF($A132="","",SUMIFS('3_Ventas_Diarias'!$E$11:$E$610,'3_Ventas_Diarias'!$C$11:$C$610,$A132))</f>
        <v/>
      </c>
      <c r="G132" s="31">
        <f>IF($A132="","",N($D132)+N($E132)-N($F132))</f>
        <v/>
      </c>
      <c r="H132" s="24" t="n"/>
      <c r="I132" s="32">
        <f>IF($A132="","",IF($G132&lt;=0,"🔴 SIN STOCK",IF($G132&lt;=$H132,"🟠 REPONER",IF($G132&lt;=$H132*1.5,"🟡 VIGILAR","🟢 OK"))))</f>
        <v/>
      </c>
      <c r="J132" s="33">
        <f>IF($A132="","",IFERROR(SUMIFS('1_Compras_e_Inventario_Inicial'!$I$11:$I$510,'1_Compras_e_Inventario_Inicial'!$D$11:$D$510,$A132)/SUMIFS('1_Compras_e_Inventario_Inicial'!$G$11:$G$510,'1_Compras_e_Inventario_Inicial'!$D$11:$D$510,$A132),0))</f>
        <v/>
      </c>
      <c r="K132" s="25" t="n"/>
      <c r="L132" s="33">
        <f>IF($A132="","",$G132*$J132)</f>
        <v/>
      </c>
      <c r="M132" s="33">
        <f>IF($A132="","",$G132*$K132)</f>
        <v/>
      </c>
      <c r="N132" s="34">
        <f>IF($A132="","",IFERROR(($K132-$J132)/$K132,0))</f>
        <v/>
      </c>
    </row>
    <row r="133">
      <c r="A133" s="22" t="n"/>
      <c r="B133" s="23" t="n"/>
      <c r="C133" s="22" t="n"/>
      <c r="D133" s="24" t="n"/>
      <c r="E133" s="30">
        <f>IF($A133="","",SUMIFS('1_Compras_e_Inventario_Inicial'!$G$11:$G$510,'1_Compras_e_Inventario_Inicial'!$D$11:$D$510,$A133))</f>
        <v/>
      </c>
      <c r="F133" s="30">
        <f>IF($A133="","",SUMIFS('3_Ventas_Diarias'!$E$11:$E$610,'3_Ventas_Diarias'!$C$11:$C$610,$A133))</f>
        <v/>
      </c>
      <c r="G133" s="31">
        <f>IF($A133="","",N($D133)+N($E133)-N($F133))</f>
        <v/>
      </c>
      <c r="H133" s="24" t="n"/>
      <c r="I133" s="32">
        <f>IF($A133="","",IF($G133&lt;=0,"🔴 SIN STOCK",IF($G133&lt;=$H133,"🟠 REPONER",IF($G133&lt;=$H133*1.5,"🟡 VIGILAR","🟢 OK"))))</f>
        <v/>
      </c>
      <c r="J133" s="33">
        <f>IF($A133="","",IFERROR(SUMIFS('1_Compras_e_Inventario_Inicial'!$I$11:$I$510,'1_Compras_e_Inventario_Inicial'!$D$11:$D$510,$A133)/SUMIFS('1_Compras_e_Inventario_Inicial'!$G$11:$G$510,'1_Compras_e_Inventario_Inicial'!$D$11:$D$510,$A133),0))</f>
        <v/>
      </c>
      <c r="K133" s="25" t="n"/>
      <c r="L133" s="33">
        <f>IF($A133="","",$G133*$J133)</f>
        <v/>
      </c>
      <c r="M133" s="33">
        <f>IF($A133="","",$G133*$K133)</f>
        <v/>
      </c>
      <c r="N133" s="34">
        <f>IF($A133="","",IFERROR(($K133-$J133)/$K133,0))</f>
        <v/>
      </c>
    </row>
    <row r="134">
      <c r="A134" s="22" t="n"/>
      <c r="B134" s="23" t="n"/>
      <c r="C134" s="22" t="n"/>
      <c r="D134" s="24" t="n"/>
      <c r="E134" s="30">
        <f>IF($A134="","",SUMIFS('1_Compras_e_Inventario_Inicial'!$G$11:$G$510,'1_Compras_e_Inventario_Inicial'!$D$11:$D$510,$A134))</f>
        <v/>
      </c>
      <c r="F134" s="30">
        <f>IF($A134="","",SUMIFS('3_Ventas_Diarias'!$E$11:$E$610,'3_Ventas_Diarias'!$C$11:$C$610,$A134))</f>
        <v/>
      </c>
      <c r="G134" s="31">
        <f>IF($A134="","",N($D134)+N($E134)-N($F134))</f>
        <v/>
      </c>
      <c r="H134" s="24" t="n"/>
      <c r="I134" s="32">
        <f>IF($A134="","",IF($G134&lt;=0,"🔴 SIN STOCK",IF($G134&lt;=$H134,"🟠 REPONER",IF($G134&lt;=$H134*1.5,"🟡 VIGILAR","🟢 OK"))))</f>
        <v/>
      </c>
      <c r="J134" s="33">
        <f>IF($A134="","",IFERROR(SUMIFS('1_Compras_e_Inventario_Inicial'!$I$11:$I$510,'1_Compras_e_Inventario_Inicial'!$D$11:$D$510,$A134)/SUMIFS('1_Compras_e_Inventario_Inicial'!$G$11:$G$510,'1_Compras_e_Inventario_Inicial'!$D$11:$D$510,$A134),0))</f>
        <v/>
      </c>
      <c r="K134" s="25" t="n"/>
      <c r="L134" s="33">
        <f>IF($A134="","",$G134*$J134)</f>
        <v/>
      </c>
      <c r="M134" s="33">
        <f>IF($A134="","",$G134*$K134)</f>
        <v/>
      </c>
      <c r="N134" s="34">
        <f>IF($A134="","",IFERROR(($K134-$J134)/$K134,0))</f>
        <v/>
      </c>
    </row>
    <row r="135">
      <c r="A135" s="22" t="n"/>
      <c r="B135" s="23" t="n"/>
      <c r="C135" s="22" t="n"/>
      <c r="D135" s="24" t="n"/>
      <c r="E135" s="30">
        <f>IF($A135="","",SUMIFS('1_Compras_e_Inventario_Inicial'!$G$11:$G$510,'1_Compras_e_Inventario_Inicial'!$D$11:$D$510,$A135))</f>
        <v/>
      </c>
      <c r="F135" s="30">
        <f>IF($A135="","",SUMIFS('3_Ventas_Diarias'!$E$11:$E$610,'3_Ventas_Diarias'!$C$11:$C$610,$A135))</f>
        <v/>
      </c>
      <c r="G135" s="31">
        <f>IF($A135="","",N($D135)+N($E135)-N($F135))</f>
        <v/>
      </c>
      <c r="H135" s="24" t="n"/>
      <c r="I135" s="32">
        <f>IF($A135="","",IF($G135&lt;=0,"🔴 SIN STOCK",IF($G135&lt;=$H135,"🟠 REPONER",IF($G135&lt;=$H135*1.5,"🟡 VIGILAR","🟢 OK"))))</f>
        <v/>
      </c>
      <c r="J135" s="33">
        <f>IF($A135="","",IFERROR(SUMIFS('1_Compras_e_Inventario_Inicial'!$I$11:$I$510,'1_Compras_e_Inventario_Inicial'!$D$11:$D$510,$A135)/SUMIFS('1_Compras_e_Inventario_Inicial'!$G$11:$G$510,'1_Compras_e_Inventario_Inicial'!$D$11:$D$510,$A135),0))</f>
        <v/>
      </c>
      <c r="K135" s="25" t="n"/>
      <c r="L135" s="33">
        <f>IF($A135="","",$G135*$J135)</f>
        <v/>
      </c>
      <c r="M135" s="33">
        <f>IF($A135="","",$G135*$K135)</f>
        <v/>
      </c>
      <c r="N135" s="34">
        <f>IF($A135="","",IFERROR(($K135-$J135)/$K135,0))</f>
        <v/>
      </c>
    </row>
    <row r="136">
      <c r="A136" s="22" t="n"/>
      <c r="B136" s="23" t="n"/>
      <c r="C136" s="22" t="n"/>
      <c r="D136" s="24" t="n"/>
      <c r="E136" s="30">
        <f>IF($A136="","",SUMIFS('1_Compras_e_Inventario_Inicial'!$G$11:$G$510,'1_Compras_e_Inventario_Inicial'!$D$11:$D$510,$A136))</f>
        <v/>
      </c>
      <c r="F136" s="30">
        <f>IF($A136="","",SUMIFS('3_Ventas_Diarias'!$E$11:$E$610,'3_Ventas_Diarias'!$C$11:$C$610,$A136))</f>
        <v/>
      </c>
      <c r="G136" s="31">
        <f>IF($A136="","",N($D136)+N($E136)-N($F136))</f>
        <v/>
      </c>
      <c r="H136" s="24" t="n"/>
      <c r="I136" s="32">
        <f>IF($A136="","",IF($G136&lt;=0,"🔴 SIN STOCK",IF($G136&lt;=$H136,"🟠 REPONER",IF($G136&lt;=$H136*1.5,"🟡 VIGILAR","🟢 OK"))))</f>
        <v/>
      </c>
      <c r="J136" s="33">
        <f>IF($A136="","",IFERROR(SUMIFS('1_Compras_e_Inventario_Inicial'!$I$11:$I$510,'1_Compras_e_Inventario_Inicial'!$D$11:$D$510,$A136)/SUMIFS('1_Compras_e_Inventario_Inicial'!$G$11:$G$510,'1_Compras_e_Inventario_Inicial'!$D$11:$D$510,$A136),0))</f>
        <v/>
      </c>
      <c r="K136" s="25" t="n"/>
      <c r="L136" s="33">
        <f>IF($A136="","",$G136*$J136)</f>
        <v/>
      </c>
      <c r="M136" s="33">
        <f>IF($A136="","",$G136*$K136)</f>
        <v/>
      </c>
      <c r="N136" s="34">
        <f>IF($A136="","",IFERROR(($K136-$J136)/$K136,0))</f>
        <v/>
      </c>
    </row>
    <row r="137">
      <c r="A137" s="22" t="n"/>
      <c r="B137" s="23" t="n"/>
      <c r="C137" s="22" t="n"/>
      <c r="D137" s="24" t="n"/>
      <c r="E137" s="30">
        <f>IF($A137="","",SUMIFS('1_Compras_e_Inventario_Inicial'!$G$11:$G$510,'1_Compras_e_Inventario_Inicial'!$D$11:$D$510,$A137))</f>
        <v/>
      </c>
      <c r="F137" s="30">
        <f>IF($A137="","",SUMIFS('3_Ventas_Diarias'!$E$11:$E$610,'3_Ventas_Diarias'!$C$11:$C$610,$A137))</f>
        <v/>
      </c>
      <c r="G137" s="31">
        <f>IF($A137="","",N($D137)+N($E137)-N($F137))</f>
        <v/>
      </c>
      <c r="H137" s="24" t="n"/>
      <c r="I137" s="32">
        <f>IF($A137="","",IF($G137&lt;=0,"🔴 SIN STOCK",IF($G137&lt;=$H137,"🟠 REPONER",IF($G137&lt;=$H137*1.5,"🟡 VIGILAR","🟢 OK"))))</f>
        <v/>
      </c>
      <c r="J137" s="33">
        <f>IF($A137="","",IFERROR(SUMIFS('1_Compras_e_Inventario_Inicial'!$I$11:$I$510,'1_Compras_e_Inventario_Inicial'!$D$11:$D$510,$A137)/SUMIFS('1_Compras_e_Inventario_Inicial'!$G$11:$G$510,'1_Compras_e_Inventario_Inicial'!$D$11:$D$510,$A137),0))</f>
        <v/>
      </c>
      <c r="K137" s="25" t="n"/>
      <c r="L137" s="33">
        <f>IF($A137="","",$G137*$J137)</f>
        <v/>
      </c>
      <c r="M137" s="33">
        <f>IF($A137="","",$G137*$K137)</f>
        <v/>
      </c>
      <c r="N137" s="34">
        <f>IF($A137="","",IFERROR(($K137-$J137)/$K137,0))</f>
        <v/>
      </c>
    </row>
    <row r="138">
      <c r="A138" s="22" t="n"/>
      <c r="B138" s="23" t="n"/>
      <c r="C138" s="22" t="n"/>
      <c r="D138" s="24" t="n"/>
      <c r="E138" s="30">
        <f>IF($A138="","",SUMIFS('1_Compras_e_Inventario_Inicial'!$G$11:$G$510,'1_Compras_e_Inventario_Inicial'!$D$11:$D$510,$A138))</f>
        <v/>
      </c>
      <c r="F138" s="30">
        <f>IF($A138="","",SUMIFS('3_Ventas_Diarias'!$E$11:$E$610,'3_Ventas_Diarias'!$C$11:$C$610,$A138))</f>
        <v/>
      </c>
      <c r="G138" s="31">
        <f>IF($A138="","",N($D138)+N($E138)-N($F138))</f>
        <v/>
      </c>
      <c r="H138" s="24" t="n"/>
      <c r="I138" s="32">
        <f>IF($A138="","",IF($G138&lt;=0,"🔴 SIN STOCK",IF($G138&lt;=$H138,"🟠 REPONER",IF($G138&lt;=$H138*1.5,"🟡 VIGILAR","🟢 OK"))))</f>
        <v/>
      </c>
      <c r="J138" s="33">
        <f>IF($A138="","",IFERROR(SUMIFS('1_Compras_e_Inventario_Inicial'!$I$11:$I$510,'1_Compras_e_Inventario_Inicial'!$D$11:$D$510,$A138)/SUMIFS('1_Compras_e_Inventario_Inicial'!$G$11:$G$510,'1_Compras_e_Inventario_Inicial'!$D$11:$D$510,$A138),0))</f>
        <v/>
      </c>
      <c r="K138" s="25" t="n"/>
      <c r="L138" s="33">
        <f>IF($A138="","",$G138*$J138)</f>
        <v/>
      </c>
      <c r="M138" s="33">
        <f>IF($A138="","",$G138*$K138)</f>
        <v/>
      </c>
      <c r="N138" s="34">
        <f>IF($A138="","",IFERROR(($K138-$J138)/$K138,0))</f>
        <v/>
      </c>
    </row>
    <row r="139">
      <c r="A139" s="22" t="n"/>
      <c r="B139" s="23" t="n"/>
      <c r="C139" s="22" t="n"/>
      <c r="D139" s="24" t="n"/>
      <c r="E139" s="30">
        <f>IF($A139="","",SUMIFS('1_Compras_e_Inventario_Inicial'!$G$11:$G$510,'1_Compras_e_Inventario_Inicial'!$D$11:$D$510,$A139))</f>
        <v/>
      </c>
      <c r="F139" s="30">
        <f>IF($A139="","",SUMIFS('3_Ventas_Diarias'!$E$11:$E$610,'3_Ventas_Diarias'!$C$11:$C$610,$A139))</f>
        <v/>
      </c>
      <c r="G139" s="31">
        <f>IF($A139="","",N($D139)+N($E139)-N($F139))</f>
        <v/>
      </c>
      <c r="H139" s="24" t="n"/>
      <c r="I139" s="32">
        <f>IF($A139="","",IF($G139&lt;=0,"🔴 SIN STOCK",IF($G139&lt;=$H139,"🟠 REPONER",IF($G139&lt;=$H139*1.5,"🟡 VIGILAR","🟢 OK"))))</f>
        <v/>
      </c>
      <c r="J139" s="33">
        <f>IF($A139="","",IFERROR(SUMIFS('1_Compras_e_Inventario_Inicial'!$I$11:$I$510,'1_Compras_e_Inventario_Inicial'!$D$11:$D$510,$A139)/SUMIFS('1_Compras_e_Inventario_Inicial'!$G$11:$G$510,'1_Compras_e_Inventario_Inicial'!$D$11:$D$510,$A139),0))</f>
        <v/>
      </c>
      <c r="K139" s="25" t="n"/>
      <c r="L139" s="33">
        <f>IF($A139="","",$G139*$J139)</f>
        <v/>
      </c>
      <c r="M139" s="33">
        <f>IF($A139="","",$G139*$K139)</f>
        <v/>
      </c>
      <c r="N139" s="34">
        <f>IF($A139="","",IFERROR(($K139-$J139)/$K139,0))</f>
        <v/>
      </c>
    </row>
    <row r="140">
      <c r="A140" s="22" t="n"/>
      <c r="B140" s="23" t="n"/>
      <c r="C140" s="22" t="n"/>
      <c r="D140" s="24" t="n"/>
      <c r="E140" s="30">
        <f>IF($A140="","",SUMIFS('1_Compras_e_Inventario_Inicial'!$G$11:$G$510,'1_Compras_e_Inventario_Inicial'!$D$11:$D$510,$A140))</f>
        <v/>
      </c>
      <c r="F140" s="30">
        <f>IF($A140="","",SUMIFS('3_Ventas_Diarias'!$E$11:$E$610,'3_Ventas_Diarias'!$C$11:$C$610,$A140))</f>
        <v/>
      </c>
      <c r="G140" s="31">
        <f>IF($A140="","",N($D140)+N($E140)-N($F140))</f>
        <v/>
      </c>
      <c r="H140" s="24" t="n"/>
      <c r="I140" s="32">
        <f>IF($A140="","",IF($G140&lt;=0,"🔴 SIN STOCK",IF($G140&lt;=$H140,"🟠 REPONER",IF($G140&lt;=$H140*1.5,"🟡 VIGILAR","🟢 OK"))))</f>
        <v/>
      </c>
      <c r="J140" s="33">
        <f>IF($A140="","",IFERROR(SUMIFS('1_Compras_e_Inventario_Inicial'!$I$11:$I$510,'1_Compras_e_Inventario_Inicial'!$D$11:$D$510,$A140)/SUMIFS('1_Compras_e_Inventario_Inicial'!$G$11:$G$510,'1_Compras_e_Inventario_Inicial'!$D$11:$D$510,$A140),0))</f>
        <v/>
      </c>
      <c r="K140" s="25" t="n"/>
      <c r="L140" s="33">
        <f>IF($A140="","",$G140*$J140)</f>
        <v/>
      </c>
      <c r="M140" s="33">
        <f>IF($A140="","",$G140*$K140)</f>
        <v/>
      </c>
      <c r="N140" s="34">
        <f>IF($A140="","",IFERROR(($K140-$J140)/$K140,0))</f>
        <v/>
      </c>
    </row>
    <row r="141">
      <c r="A141" s="22" t="n"/>
      <c r="B141" s="23" t="n"/>
      <c r="C141" s="22" t="n"/>
      <c r="D141" s="24" t="n"/>
      <c r="E141" s="30">
        <f>IF($A141="","",SUMIFS('1_Compras_e_Inventario_Inicial'!$G$11:$G$510,'1_Compras_e_Inventario_Inicial'!$D$11:$D$510,$A141))</f>
        <v/>
      </c>
      <c r="F141" s="30">
        <f>IF($A141="","",SUMIFS('3_Ventas_Diarias'!$E$11:$E$610,'3_Ventas_Diarias'!$C$11:$C$610,$A141))</f>
        <v/>
      </c>
      <c r="G141" s="31">
        <f>IF($A141="","",N($D141)+N($E141)-N($F141))</f>
        <v/>
      </c>
      <c r="H141" s="24" t="n"/>
      <c r="I141" s="32">
        <f>IF($A141="","",IF($G141&lt;=0,"🔴 SIN STOCK",IF($G141&lt;=$H141,"🟠 REPONER",IF($G141&lt;=$H141*1.5,"🟡 VIGILAR","🟢 OK"))))</f>
        <v/>
      </c>
      <c r="J141" s="33">
        <f>IF($A141="","",IFERROR(SUMIFS('1_Compras_e_Inventario_Inicial'!$I$11:$I$510,'1_Compras_e_Inventario_Inicial'!$D$11:$D$510,$A141)/SUMIFS('1_Compras_e_Inventario_Inicial'!$G$11:$G$510,'1_Compras_e_Inventario_Inicial'!$D$11:$D$510,$A141),0))</f>
        <v/>
      </c>
      <c r="K141" s="25" t="n"/>
      <c r="L141" s="33">
        <f>IF($A141="","",$G141*$J141)</f>
        <v/>
      </c>
      <c r="M141" s="33">
        <f>IF($A141="","",$G141*$K141)</f>
        <v/>
      </c>
      <c r="N141" s="34">
        <f>IF($A141="","",IFERROR(($K141-$J141)/$K141,0))</f>
        <v/>
      </c>
    </row>
    <row r="142">
      <c r="A142" s="22" t="n"/>
      <c r="B142" s="23" t="n"/>
      <c r="C142" s="22" t="n"/>
      <c r="D142" s="24" t="n"/>
      <c r="E142" s="30">
        <f>IF($A142="","",SUMIFS('1_Compras_e_Inventario_Inicial'!$G$11:$G$510,'1_Compras_e_Inventario_Inicial'!$D$11:$D$510,$A142))</f>
        <v/>
      </c>
      <c r="F142" s="30">
        <f>IF($A142="","",SUMIFS('3_Ventas_Diarias'!$E$11:$E$610,'3_Ventas_Diarias'!$C$11:$C$610,$A142))</f>
        <v/>
      </c>
      <c r="G142" s="31">
        <f>IF($A142="","",N($D142)+N($E142)-N($F142))</f>
        <v/>
      </c>
      <c r="H142" s="24" t="n"/>
      <c r="I142" s="32">
        <f>IF($A142="","",IF($G142&lt;=0,"🔴 SIN STOCK",IF($G142&lt;=$H142,"🟠 REPONER",IF($G142&lt;=$H142*1.5,"🟡 VIGILAR","🟢 OK"))))</f>
        <v/>
      </c>
      <c r="J142" s="33">
        <f>IF($A142="","",IFERROR(SUMIFS('1_Compras_e_Inventario_Inicial'!$I$11:$I$510,'1_Compras_e_Inventario_Inicial'!$D$11:$D$510,$A142)/SUMIFS('1_Compras_e_Inventario_Inicial'!$G$11:$G$510,'1_Compras_e_Inventario_Inicial'!$D$11:$D$510,$A142),0))</f>
        <v/>
      </c>
      <c r="K142" s="25" t="n"/>
      <c r="L142" s="33">
        <f>IF($A142="","",$G142*$J142)</f>
        <v/>
      </c>
      <c r="M142" s="33">
        <f>IF($A142="","",$G142*$K142)</f>
        <v/>
      </c>
      <c r="N142" s="34">
        <f>IF($A142="","",IFERROR(($K142-$J142)/$K142,0))</f>
        <v/>
      </c>
    </row>
    <row r="143">
      <c r="A143" s="22" t="n"/>
      <c r="B143" s="23" t="n"/>
      <c r="C143" s="22" t="n"/>
      <c r="D143" s="24" t="n"/>
      <c r="E143" s="30">
        <f>IF($A143="","",SUMIFS('1_Compras_e_Inventario_Inicial'!$G$11:$G$510,'1_Compras_e_Inventario_Inicial'!$D$11:$D$510,$A143))</f>
        <v/>
      </c>
      <c r="F143" s="30">
        <f>IF($A143="","",SUMIFS('3_Ventas_Diarias'!$E$11:$E$610,'3_Ventas_Diarias'!$C$11:$C$610,$A143))</f>
        <v/>
      </c>
      <c r="G143" s="31">
        <f>IF($A143="","",N($D143)+N($E143)-N($F143))</f>
        <v/>
      </c>
      <c r="H143" s="24" t="n"/>
      <c r="I143" s="32">
        <f>IF($A143="","",IF($G143&lt;=0,"🔴 SIN STOCK",IF($G143&lt;=$H143,"🟠 REPONER",IF($G143&lt;=$H143*1.5,"🟡 VIGILAR","🟢 OK"))))</f>
        <v/>
      </c>
      <c r="J143" s="33">
        <f>IF($A143="","",IFERROR(SUMIFS('1_Compras_e_Inventario_Inicial'!$I$11:$I$510,'1_Compras_e_Inventario_Inicial'!$D$11:$D$510,$A143)/SUMIFS('1_Compras_e_Inventario_Inicial'!$G$11:$G$510,'1_Compras_e_Inventario_Inicial'!$D$11:$D$510,$A143),0))</f>
        <v/>
      </c>
      <c r="K143" s="25" t="n"/>
      <c r="L143" s="33">
        <f>IF($A143="","",$G143*$J143)</f>
        <v/>
      </c>
      <c r="M143" s="33">
        <f>IF($A143="","",$G143*$K143)</f>
        <v/>
      </c>
      <c r="N143" s="34">
        <f>IF($A143="","",IFERROR(($K143-$J143)/$K143,0))</f>
        <v/>
      </c>
    </row>
    <row r="144">
      <c r="A144" s="22" t="n"/>
      <c r="B144" s="23" t="n"/>
      <c r="C144" s="22" t="n"/>
      <c r="D144" s="24" t="n"/>
      <c r="E144" s="30">
        <f>IF($A144="","",SUMIFS('1_Compras_e_Inventario_Inicial'!$G$11:$G$510,'1_Compras_e_Inventario_Inicial'!$D$11:$D$510,$A144))</f>
        <v/>
      </c>
      <c r="F144" s="30">
        <f>IF($A144="","",SUMIFS('3_Ventas_Diarias'!$E$11:$E$610,'3_Ventas_Diarias'!$C$11:$C$610,$A144))</f>
        <v/>
      </c>
      <c r="G144" s="31">
        <f>IF($A144="","",N($D144)+N($E144)-N($F144))</f>
        <v/>
      </c>
      <c r="H144" s="24" t="n"/>
      <c r="I144" s="32">
        <f>IF($A144="","",IF($G144&lt;=0,"🔴 SIN STOCK",IF($G144&lt;=$H144,"🟠 REPONER",IF($G144&lt;=$H144*1.5,"🟡 VIGILAR","🟢 OK"))))</f>
        <v/>
      </c>
      <c r="J144" s="33">
        <f>IF($A144="","",IFERROR(SUMIFS('1_Compras_e_Inventario_Inicial'!$I$11:$I$510,'1_Compras_e_Inventario_Inicial'!$D$11:$D$510,$A144)/SUMIFS('1_Compras_e_Inventario_Inicial'!$G$11:$G$510,'1_Compras_e_Inventario_Inicial'!$D$11:$D$510,$A144),0))</f>
        <v/>
      </c>
      <c r="K144" s="25" t="n"/>
      <c r="L144" s="33">
        <f>IF($A144="","",$G144*$J144)</f>
        <v/>
      </c>
      <c r="M144" s="33">
        <f>IF($A144="","",$G144*$K144)</f>
        <v/>
      </c>
      <c r="N144" s="34">
        <f>IF($A144="","",IFERROR(($K144-$J144)/$K144,0))</f>
        <v/>
      </c>
    </row>
    <row r="145">
      <c r="A145" s="22" t="n"/>
      <c r="B145" s="23" t="n"/>
      <c r="C145" s="22" t="n"/>
      <c r="D145" s="24" t="n"/>
      <c r="E145" s="30">
        <f>IF($A145="","",SUMIFS('1_Compras_e_Inventario_Inicial'!$G$11:$G$510,'1_Compras_e_Inventario_Inicial'!$D$11:$D$510,$A145))</f>
        <v/>
      </c>
      <c r="F145" s="30">
        <f>IF($A145="","",SUMIFS('3_Ventas_Diarias'!$E$11:$E$610,'3_Ventas_Diarias'!$C$11:$C$610,$A145))</f>
        <v/>
      </c>
      <c r="G145" s="31">
        <f>IF($A145="","",N($D145)+N($E145)-N($F145))</f>
        <v/>
      </c>
      <c r="H145" s="24" t="n"/>
      <c r="I145" s="32">
        <f>IF($A145="","",IF($G145&lt;=0,"🔴 SIN STOCK",IF($G145&lt;=$H145,"🟠 REPONER",IF($G145&lt;=$H145*1.5,"🟡 VIGILAR","🟢 OK"))))</f>
        <v/>
      </c>
      <c r="J145" s="33">
        <f>IF($A145="","",IFERROR(SUMIFS('1_Compras_e_Inventario_Inicial'!$I$11:$I$510,'1_Compras_e_Inventario_Inicial'!$D$11:$D$510,$A145)/SUMIFS('1_Compras_e_Inventario_Inicial'!$G$11:$G$510,'1_Compras_e_Inventario_Inicial'!$D$11:$D$510,$A145),0))</f>
        <v/>
      </c>
      <c r="K145" s="25" t="n"/>
      <c r="L145" s="33">
        <f>IF($A145="","",$G145*$J145)</f>
        <v/>
      </c>
      <c r="M145" s="33">
        <f>IF($A145="","",$G145*$K145)</f>
        <v/>
      </c>
      <c r="N145" s="34">
        <f>IF($A145="","",IFERROR(($K145-$J145)/$K145,0))</f>
        <v/>
      </c>
    </row>
    <row r="146">
      <c r="A146" s="22" t="n"/>
      <c r="B146" s="23" t="n"/>
      <c r="C146" s="22" t="n"/>
      <c r="D146" s="24" t="n"/>
      <c r="E146" s="30">
        <f>IF($A146="","",SUMIFS('1_Compras_e_Inventario_Inicial'!$G$11:$G$510,'1_Compras_e_Inventario_Inicial'!$D$11:$D$510,$A146))</f>
        <v/>
      </c>
      <c r="F146" s="30">
        <f>IF($A146="","",SUMIFS('3_Ventas_Diarias'!$E$11:$E$610,'3_Ventas_Diarias'!$C$11:$C$610,$A146))</f>
        <v/>
      </c>
      <c r="G146" s="31">
        <f>IF($A146="","",N($D146)+N($E146)-N($F146))</f>
        <v/>
      </c>
      <c r="H146" s="24" t="n"/>
      <c r="I146" s="32">
        <f>IF($A146="","",IF($G146&lt;=0,"🔴 SIN STOCK",IF($G146&lt;=$H146,"🟠 REPONER",IF($G146&lt;=$H146*1.5,"🟡 VIGILAR","🟢 OK"))))</f>
        <v/>
      </c>
      <c r="J146" s="33">
        <f>IF($A146="","",IFERROR(SUMIFS('1_Compras_e_Inventario_Inicial'!$I$11:$I$510,'1_Compras_e_Inventario_Inicial'!$D$11:$D$510,$A146)/SUMIFS('1_Compras_e_Inventario_Inicial'!$G$11:$G$510,'1_Compras_e_Inventario_Inicial'!$D$11:$D$510,$A146),0))</f>
        <v/>
      </c>
      <c r="K146" s="25" t="n"/>
      <c r="L146" s="33">
        <f>IF($A146="","",$G146*$J146)</f>
        <v/>
      </c>
      <c r="M146" s="33">
        <f>IF($A146="","",$G146*$K146)</f>
        <v/>
      </c>
      <c r="N146" s="34">
        <f>IF($A146="","",IFERROR(($K146-$J146)/$K146,0))</f>
        <v/>
      </c>
    </row>
    <row r="147">
      <c r="A147" s="22" t="n"/>
      <c r="B147" s="23" t="n"/>
      <c r="C147" s="22" t="n"/>
      <c r="D147" s="24" t="n"/>
      <c r="E147" s="30">
        <f>IF($A147="","",SUMIFS('1_Compras_e_Inventario_Inicial'!$G$11:$G$510,'1_Compras_e_Inventario_Inicial'!$D$11:$D$510,$A147))</f>
        <v/>
      </c>
      <c r="F147" s="30">
        <f>IF($A147="","",SUMIFS('3_Ventas_Diarias'!$E$11:$E$610,'3_Ventas_Diarias'!$C$11:$C$610,$A147))</f>
        <v/>
      </c>
      <c r="G147" s="31">
        <f>IF($A147="","",N($D147)+N($E147)-N($F147))</f>
        <v/>
      </c>
      <c r="H147" s="24" t="n"/>
      <c r="I147" s="32">
        <f>IF($A147="","",IF($G147&lt;=0,"🔴 SIN STOCK",IF($G147&lt;=$H147,"🟠 REPONER",IF($G147&lt;=$H147*1.5,"🟡 VIGILAR","🟢 OK"))))</f>
        <v/>
      </c>
      <c r="J147" s="33">
        <f>IF($A147="","",IFERROR(SUMIFS('1_Compras_e_Inventario_Inicial'!$I$11:$I$510,'1_Compras_e_Inventario_Inicial'!$D$11:$D$510,$A147)/SUMIFS('1_Compras_e_Inventario_Inicial'!$G$11:$G$510,'1_Compras_e_Inventario_Inicial'!$D$11:$D$510,$A147),0))</f>
        <v/>
      </c>
      <c r="K147" s="25" t="n"/>
      <c r="L147" s="33">
        <f>IF($A147="","",$G147*$J147)</f>
        <v/>
      </c>
      <c r="M147" s="33">
        <f>IF($A147="","",$G147*$K147)</f>
        <v/>
      </c>
      <c r="N147" s="34">
        <f>IF($A147="","",IFERROR(($K147-$J147)/$K147,0))</f>
        <v/>
      </c>
    </row>
    <row r="148">
      <c r="A148" s="22" t="n"/>
      <c r="B148" s="23" t="n"/>
      <c r="C148" s="22" t="n"/>
      <c r="D148" s="24" t="n"/>
      <c r="E148" s="30">
        <f>IF($A148="","",SUMIFS('1_Compras_e_Inventario_Inicial'!$G$11:$G$510,'1_Compras_e_Inventario_Inicial'!$D$11:$D$510,$A148))</f>
        <v/>
      </c>
      <c r="F148" s="30">
        <f>IF($A148="","",SUMIFS('3_Ventas_Diarias'!$E$11:$E$610,'3_Ventas_Diarias'!$C$11:$C$610,$A148))</f>
        <v/>
      </c>
      <c r="G148" s="31">
        <f>IF($A148="","",N($D148)+N($E148)-N($F148))</f>
        <v/>
      </c>
      <c r="H148" s="24" t="n"/>
      <c r="I148" s="32">
        <f>IF($A148="","",IF($G148&lt;=0,"🔴 SIN STOCK",IF($G148&lt;=$H148,"🟠 REPONER",IF($G148&lt;=$H148*1.5,"🟡 VIGILAR","🟢 OK"))))</f>
        <v/>
      </c>
      <c r="J148" s="33">
        <f>IF($A148="","",IFERROR(SUMIFS('1_Compras_e_Inventario_Inicial'!$I$11:$I$510,'1_Compras_e_Inventario_Inicial'!$D$11:$D$510,$A148)/SUMIFS('1_Compras_e_Inventario_Inicial'!$G$11:$G$510,'1_Compras_e_Inventario_Inicial'!$D$11:$D$510,$A148),0))</f>
        <v/>
      </c>
      <c r="K148" s="25" t="n"/>
      <c r="L148" s="33">
        <f>IF($A148="","",$G148*$J148)</f>
        <v/>
      </c>
      <c r="M148" s="33">
        <f>IF($A148="","",$G148*$K148)</f>
        <v/>
      </c>
      <c r="N148" s="34">
        <f>IF($A148="","",IFERROR(($K148-$J148)/$K148,0))</f>
        <v/>
      </c>
    </row>
    <row r="149">
      <c r="A149" s="22" t="n"/>
      <c r="B149" s="23" t="n"/>
      <c r="C149" s="22" t="n"/>
      <c r="D149" s="24" t="n"/>
      <c r="E149" s="30">
        <f>IF($A149="","",SUMIFS('1_Compras_e_Inventario_Inicial'!$G$11:$G$510,'1_Compras_e_Inventario_Inicial'!$D$11:$D$510,$A149))</f>
        <v/>
      </c>
      <c r="F149" s="30">
        <f>IF($A149="","",SUMIFS('3_Ventas_Diarias'!$E$11:$E$610,'3_Ventas_Diarias'!$C$11:$C$610,$A149))</f>
        <v/>
      </c>
      <c r="G149" s="31">
        <f>IF($A149="","",N($D149)+N($E149)-N($F149))</f>
        <v/>
      </c>
      <c r="H149" s="24" t="n"/>
      <c r="I149" s="32">
        <f>IF($A149="","",IF($G149&lt;=0,"🔴 SIN STOCK",IF($G149&lt;=$H149,"🟠 REPONER",IF($G149&lt;=$H149*1.5,"🟡 VIGILAR","🟢 OK"))))</f>
        <v/>
      </c>
      <c r="J149" s="33">
        <f>IF($A149="","",IFERROR(SUMIFS('1_Compras_e_Inventario_Inicial'!$I$11:$I$510,'1_Compras_e_Inventario_Inicial'!$D$11:$D$510,$A149)/SUMIFS('1_Compras_e_Inventario_Inicial'!$G$11:$G$510,'1_Compras_e_Inventario_Inicial'!$D$11:$D$510,$A149),0))</f>
        <v/>
      </c>
      <c r="K149" s="25" t="n"/>
      <c r="L149" s="33">
        <f>IF($A149="","",$G149*$J149)</f>
        <v/>
      </c>
      <c r="M149" s="33">
        <f>IF($A149="","",$G149*$K149)</f>
        <v/>
      </c>
      <c r="N149" s="34">
        <f>IF($A149="","",IFERROR(($K149-$J149)/$K149,0))</f>
        <v/>
      </c>
    </row>
    <row r="150">
      <c r="A150" s="22" t="n"/>
      <c r="B150" s="23" t="n"/>
      <c r="C150" s="22" t="n"/>
      <c r="D150" s="24" t="n"/>
      <c r="E150" s="30">
        <f>IF($A150="","",SUMIFS('1_Compras_e_Inventario_Inicial'!$G$11:$G$510,'1_Compras_e_Inventario_Inicial'!$D$11:$D$510,$A150))</f>
        <v/>
      </c>
      <c r="F150" s="30">
        <f>IF($A150="","",SUMIFS('3_Ventas_Diarias'!$E$11:$E$610,'3_Ventas_Diarias'!$C$11:$C$610,$A150))</f>
        <v/>
      </c>
      <c r="G150" s="31">
        <f>IF($A150="","",N($D150)+N($E150)-N($F150))</f>
        <v/>
      </c>
      <c r="H150" s="24" t="n"/>
      <c r="I150" s="32">
        <f>IF($A150="","",IF($G150&lt;=0,"🔴 SIN STOCK",IF($G150&lt;=$H150,"🟠 REPONER",IF($G150&lt;=$H150*1.5,"🟡 VIGILAR","🟢 OK"))))</f>
        <v/>
      </c>
      <c r="J150" s="33">
        <f>IF($A150="","",IFERROR(SUMIFS('1_Compras_e_Inventario_Inicial'!$I$11:$I$510,'1_Compras_e_Inventario_Inicial'!$D$11:$D$510,$A150)/SUMIFS('1_Compras_e_Inventario_Inicial'!$G$11:$G$510,'1_Compras_e_Inventario_Inicial'!$D$11:$D$510,$A150),0))</f>
        <v/>
      </c>
      <c r="K150" s="25" t="n"/>
      <c r="L150" s="33">
        <f>IF($A150="","",$G150*$J150)</f>
        <v/>
      </c>
      <c r="M150" s="33">
        <f>IF($A150="","",$G150*$K150)</f>
        <v/>
      </c>
      <c r="N150" s="34">
        <f>IF($A150="","",IFERROR(($K150-$J150)/$K150,0))</f>
        <v/>
      </c>
    </row>
    <row r="151">
      <c r="A151" s="22" t="n"/>
      <c r="B151" s="23" t="n"/>
      <c r="C151" s="22" t="n"/>
      <c r="D151" s="24" t="n"/>
      <c r="E151" s="30">
        <f>IF($A151="","",SUMIFS('1_Compras_e_Inventario_Inicial'!$G$11:$G$510,'1_Compras_e_Inventario_Inicial'!$D$11:$D$510,$A151))</f>
        <v/>
      </c>
      <c r="F151" s="30">
        <f>IF($A151="","",SUMIFS('3_Ventas_Diarias'!$E$11:$E$610,'3_Ventas_Diarias'!$C$11:$C$610,$A151))</f>
        <v/>
      </c>
      <c r="G151" s="31">
        <f>IF($A151="","",N($D151)+N($E151)-N($F151))</f>
        <v/>
      </c>
      <c r="H151" s="24" t="n"/>
      <c r="I151" s="32">
        <f>IF($A151="","",IF($G151&lt;=0,"🔴 SIN STOCK",IF($G151&lt;=$H151,"🟠 REPONER",IF($G151&lt;=$H151*1.5,"🟡 VIGILAR","🟢 OK"))))</f>
        <v/>
      </c>
      <c r="J151" s="33">
        <f>IF($A151="","",IFERROR(SUMIFS('1_Compras_e_Inventario_Inicial'!$I$11:$I$510,'1_Compras_e_Inventario_Inicial'!$D$11:$D$510,$A151)/SUMIFS('1_Compras_e_Inventario_Inicial'!$G$11:$G$510,'1_Compras_e_Inventario_Inicial'!$D$11:$D$510,$A151),0))</f>
        <v/>
      </c>
      <c r="K151" s="25" t="n"/>
      <c r="L151" s="33">
        <f>IF($A151="","",$G151*$J151)</f>
        <v/>
      </c>
      <c r="M151" s="33">
        <f>IF($A151="","",$G151*$K151)</f>
        <v/>
      </c>
      <c r="N151" s="34">
        <f>IF($A151="","",IFERROR(($K151-$J151)/$K151,0))</f>
        <v/>
      </c>
    </row>
    <row r="152">
      <c r="A152" s="22" t="n"/>
      <c r="B152" s="23" t="n"/>
      <c r="C152" s="22" t="n"/>
      <c r="D152" s="24" t="n"/>
      <c r="E152" s="30">
        <f>IF($A152="","",SUMIFS('1_Compras_e_Inventario_Inicial'!$G$11:$G$510,'1_Compras_e_Inventario_Inicial'!$D$11:$D$510,$A152))</f>
        <v/>
      </c>
      <c r="F152" s="30">
        <f>IF($A152="","",SUMIFS('3_Ventas_Diarias'!$E$11:$E$610,'3_Ventas_Diarias'!$C$11:$C$610,$A152))</f>
        <v/>
      </c>
      <c r="G152" s="31">
        <f>IF($A152="","",N($D152)+N($E152)-N($F152))</f>
        <v/>
      </c>
      <c r="H152" s="24" t="n"/>
      <c r="I152" s="32">
        <f>IF($A152="","",IF($G152&lt;=0,"🔴 SIN STOCK",IF($G152&lt;=$H152,"🟠 REPONER",IF($G152&lt;=$H152*1.5,"🟡 VIGILAR","🟢 OK"))))</f>
        <v/>
      </c>
      <c r="J152" s="33">
        <f>IF($A152="","",IFERROR(SUMIFS('1_Compras_e_Inventario_Inicial'!$I$11:$I$510,'1_Compras_e_Inventario_Inicial'!$D$11:$D$510,$A152)/SUMIFS('1_Compras_e_Inventario_Inicial'!$G$11:$G$510,'1_Compras_e_Inventario_Inicial'!$D$11:$D$510,$A152),0))</f>
        <v/>
      </c>
      <c r="K152" s="25" t="n"/>
      <c r="L152" s="33">
        <f>IF($A152="","",$G152*$J152)</f>
        <v/>
      </c>
      <c r="M152" s="33">
        <f>IF($A152="","",$G152*$K152)</f>
        <v/>
      </c>
      <c r="N152" s="34">
        <f>IF($A152="","",IFERROR(($K152-$J152)/$K152,0))</f>
        <v/>
      </c>
    </row>
    <row r="153">
      <c r="A153" s="22" t="n"/>
      <c r="B153" s="23" t="n"/>
      <c r="C153" s="22" t="n"/>
      <c r="D153" s="24" t="n"/>
      <c r="E153" s="30">
        <f>IF($A153="","",SUMIFS('1_Compras_e_Inventario_Inicial'!$G$11:$G$510,'1_Compras_e_Inventario_Inicial'!$D$11:$D$510,$A153))</f>
        <v/>
      </c>
      <c r="F153" s="30">
        <f>IF($A153="","",SUMIFS('3_Ventas_Diarias'!$E$11:$E$610,'3_Ventas_Diarias'!$C$11:$C$610,$A153))</f>
        <v/>
      </c>
      <c r="G153" s="31">
        <f>IF($A153="","",N($D153)+N($E153)-N($F153))</f>
        <v/>
      </c>
      <c r="H153" s="24" t="n"/>
      <c r="I153" s="32">
        <f>IF($A153="","",IF($G153&lt;=0,"🔴 SIN STOCK",IF($G153&lt;=$H153,"🟠 REPONER",IF($G153&lt;=$H153*1.5,"🟡 VIGILAR","🟢 OK"))))</f>
        <v/>
      </c>
      <c r="J153" s="33">
        <f>IF($A153="","",IFERROR(SUMIFS('1_Compras_e_Inventario_Inicial'!$I$11:$I$510,'1_Compras_e_Inventario_Inicial'!$D$11:$D$510,$A153)/SUMIFS('1_Compras_e_Inventario_Inicial'!$G$11:$G$510,'1_Compras_e_Inventario_Inicial'!$D$11:$D$510,$A153),0))</f>
        <v/>
      </c>
      <c r="K153" s="25" t="n"/>
      <c r="L153" s="33">
        <f>IF($A153="","",$G153*$J153)</f>
        <v/>
      </c>
      <c r="M153" s="33">
        <f>IF($A153="","",$G153*$K153)</f>
        <v/>
      </c>
      <c r="N153" s="34">
        <f>IF($A153="","",IFERROR(($K153-$J153)/$K153,0))</f>
        <v/>
      </c>
    </row>
    <row r="154">
      <c r="A154" s="22" t="n"/>
      <c r="B154" s="23" t="n"/>
      <c r="C154" s="22" t="n"/>
      <c r="D154" s="24" t="n"/>
      <c r="E154" s="30">
        <f>IF($A154="","",SUMIFS('1_Compras_e_Inventario_Inicial'!$G$11:$G$510,'1_Compras_e_Inventario_Inicial'!$D$11:$D$510,$A154))</f>
        <v/>
      </c>
      <c r="F154" s="30">
        <f>IF($A154="","",SUMIFS('3_Ventas_Diarias'!$E$11:$E$610,'3_Ventas_Diarias'!$C$11:$C$610,$A154))</f>
        <v/>
      </c>
      <c r="G154" s="31">
        <f>IF($A154="","",N($D154)+N($E154)-N($F154))</f>
        <v/>
      </c>
      <c r="H154" s="24" t="n"/>
      <c r="I154" s="32">
        <f>IF($A154="","",IF($G154&lt;=0,"🔴 SIN STOCK",IF($G154&lt;=$H154,"🟠 REPONER",IF($G154&lt;=$H154*1.5,"🟡 VIGILAR","🟢 OK"))))</f>
        <v/>
      </c>
      <c r="J154" s="33">
        <f>IF($A154="","",IFERROR(SUMIFS('1_Compras_e_Inventario_Inicial'!$I$11:$I$510,'1_Compras_e_Inventario_Inicial'!$D$11:$D$510,$A154)/SUMIFS('1_Compras_e_Inventario_Inicial'!$G$11:$G$510,'1_Compras_e_Inventario_Inicial'!$D$11:$D$510,$A154),0))</f>
        <v/>
      </c>
      <c r="K154" s="25" t="n"/>
      <c r="L154" s="33">
        <f>IF($A154="","",$G154*$J154)</f>
        <v/>
      </c>
      <c r="M154" s="33">
        <f>IF($A154="","",$G154*$K154)</f>
        <v/>
      </c>
      <c r="N154" s="34">
        <f>IF($A154="","",IFERROR(($K154-$J154)/$K154,0))</f>
        <v/>
      </c>
    </row>
    <row r="155">
      <c r="A155" s="22" t="n"/>
      <c r="B155" s="23" t="n"/>
      <c r="C155" s="22" t="n"/>
      <c r="D155" s="24" t="n"/>
      <c r="E155" s="30">
        <f>IF($A155="","",SUMIFS('1_Compras_e_Inventario_Inicial'!$G$11:$G$510,'1_Compras_e_Inventario_Inicial'!$D$11:$D$510,$A155))</f>
        <v/>
      </c>
      <c r="F155" s="30">
        <f>IF($A155="","",SUMIFS('3_Ventas_Diarias'!$E$11:$E$610,'3_Ventas_Diarias'!$C$11:$C$610,$A155))</f>
        <v/>
      </c>
      <c r="G155" s="31">
        <f>IF($A155="","",N($D155)+N($E155)-N($F155))</f>
        <v/>
      </c>
      <c r="H155" s="24" t="n"/>
      <c r="I155" s="32">
        <f>IF($A155="","",IF($G155&lt;=0,"🔴 SIN STOCK",IF($G155&lt;=$H155,"🟠 REPONER",IF($G155&lt;=$H155*1.5,"🟡 VIGILAR","🟢 OK"))))</f>
        <v/>
      </c>
      <c r="J155" s="33">
        <f>IF($A155="","",IFERROR(SUMIFS('1_Compras_e_Inventario_Inicial'!$I$11:$I$510,'1_Compras_e_Inventario_Inicial'!$D$11:$D$510,$A155)/SUMIFS('1_Compras_e_Inventario_Inicial'!$G$11:$G$510,'1_Compras_e_Inventario_Inicial'!$D$11:$D$510,$A155),0))</f>
        <v/>
      </c>
      <c r="K155" s="25" t="n"/>
      <c r="L155" s="33">
        <f>IF($A155="","",$G155*$J155)</f>
        <v/>
      </c>
      <c r="M155" s="33">
        <f>IF($A155="","",$G155*$K155)</f>
        <v/>
      </c>
      <c r="N155" s="34">
        <f>IF($A155="","",IFERROR(($K155-$J155)/$K155,0))</f>
        <v/>
      </c>
    </row>
    <row r="156">
      <c r="A156" s="22" t="n"/>
      <c r="B156" s="23" t="n"/>
      <c r="C156" s="22" t="n"/>
      <c r="D156" s="24" t="n"/>
      <c r="E156" s="30">
        <f>IF($A156="","",SUMIFS('1_Compras_e_Inventario_Inicial'!$G$11:$G$510,'1_Compras_e_Inventario_Inicial'!$D$11:$D$510,$A156))</f>
        <v/>
      </c>
      <c r="F156" s="30">
        <f>IF($A156="","",SUMIFS('3_Ventas_Diarias'!$E$11:$E$610,'3_Ventas_Diarias'!$C$11:$C$610,$A156))</f>
        <v/>
      </c>
      <c r="G156" s="31">
        <f>IF($A156="","",N($D156)+N($E156)-N($F156))</f>
        <v/>
      </c>
      <c r="H156" s="24" t="n"/>
      <c r="I156" s="32">
        <f>IF($A156="","",IF($G156&lt;=0,"🔴 SIN STOCK",IF($G156&lt;=$H156,"🟠 REPONER",IF($G156&lt;=$H156*1.5,"🟡 VIGILAR","🟢 OK"))))</f>
        <v/>
      </c>
      <c r="J156" s="33">
        <f>IF($A156="","",IFERROR(SUMIFS('1_Compras_e_Inventario_Inicial'!$I$11:$I$510,'1_Compras_e_Inventario_Inicial'!$D$11:$D$510,$A156)/SUMIFS('1_Compras_e_Inventario_Inicial'!$G$11:$G$510,'1_Compras_e_Inventario_Inicial'!$D$11:$D$510,$A156),0))</f>
        <v/>
      </c>
      <c r="K156" s="25" t="n"/>
      <c r="L156" s="33">
        <f>IF($A156="","",$G156*$J156)</f>
        <v/>
      </c>
      <c r="M156" s="33">
        <f>IF($A156="","",$G156*$K156)</f>
        <v/>
      </c>
      <c r="N156" s="34">
        <f>IF($A156="","",IFERROR(($K156-$J156)/$K156,0))</f>
        <v/>
      </c>
    </row>
    <row r="157">
      <c r="A157" s="22" t="n"/>
      <c r="B157" s="23" t="n"/>
      <c r="C157" s="22" t="n"/>
      <c r="D157" s="24" t="n"/>
      <c r="E157" s="30">
        <f>IF($A157="","",SUMIFS('1_Compras_e_Inventario_Inicial'!$G$11:$G$510,'1_Compras_e_Inventario_Inicial'!$D$11:$D$510,$A157))</f>
        <v/>
      </c>
      <c r="F157" s="30">
        <f>IF($A157="","",SUMIFS('3_Ventas_Diarias'!$E$11:$E$610,'3_Ventas_Diarias'!$C$11:$C$610,$A157))</f>
        <v/>
      </c>
      <c r="G157" s="31">
        <f>IF($A157="","",N($D157)+N($E157)-N($F157))</f>
        <v/>
      </c>
      <c r="H157" s="24" t="n"/>
      <c r="I157" s="32">
        <f>IF($A157="","",IF($G157&lt;=0,"🔴 SIN STOCK",IF($G157&lt;=$H157,"🟠 REPONER",IF($G157&lt;=$H157*1.5,"🟡 VIGILAR","🟢 OK"))))</f>
        <v/>
      </c>
      <c r="J157" s="33">
        <f>IF($A157="","",IFERROR(SUMIFS('1_Compras_e_Inventario_Inicial'!$I$11:$I$510,'1_Compras_e_Inventario_Inicial'!$D$11:$D$510,$A157)/SUMIFS('1_Compras_e_Inventario_Inicial'!$G$11:$G$510,'1_Compras_e_Inventario_Inicial'!$D$11:$D$510,$A157),0))</f>
        <v/>
      </c>
      <c r="K157" s="25" t="n"/>
      <c r="L157" s="33">
        <f>IF($A157="","",$G157*$J157)</f>
        <v/>
      </c>
      <c r="M157" s="33">
        <f>IF($A157="","",$G157*$K157)</f>
        <v/>
      </c>
      <c r="N157" s="34">
        <f>IF($A157="","",IFERROR(($K157-$J157)/$K157,0))</f>
        <v/>
      </c>
    </row>
    <row r="158">
      <c r="A158" s="22" t="n"/>
      <c r="B158" s="23" t="n"/>
      <c r="C158" s="22" t="n"/>
      <c r="D158" s="24" t="n"/>
      <c r="E158" s="30">
        <f>IF($A158="","",SUMIFS('1_Compras_e_Inventario_Inicial'!$G$11:$G$510,'1_Compras_e_Inventario_Inicial'!$D$11:$D$510,$A158))</f>
        <v/>
      </c>
      <c r="F158" s="30">
        <f>IF($A158="","",SUMIFS('3_Ventas_Diarias'!$E$11:$E$610,'3_Ventas_Diarias'!$C$11:$C$610,$A158))</f>
        <v/>
      </c>
      <c r="G158" s="31">
        <f>IF($A158="","",N($D158)+N($E158)-N($F158))</f>
        <v/>
      </c>
      <c r="H158" s="24" t="n"/>
      <c r="I158" s="32">
        <f>IF($A158="","",IF($G158&lt;=0,"🔴 SIN STOCK",IF($G158&lt;=$H158,"🟠 REPONER",IF($G158&lt;=$H158*1.5,"🟡 VIGILAR","🟢 OK"))))</f>
        <v/>
      </c>
      <c r="J158" s="33">
        <f>IF($A158="","",IFERROR(SUMIFS('1_Compras_e_Inventario_Inicial'!$I$11:$I$510,'1_Compras_e_Inventario_Inicial'!$D$11:$D$510,$A158)/SUMIFS('1_Compras_e_Inventario_Inicial'!$G$11:$G$510,'1_Compras_e_Inventario_Inicial'!$D$11:$D$510,$A158),0))</f>
        <v/>
      </c>
      <c r="K158" s="25" t="n"/>
      <c r="L158" s="33">
        <f>IF($A158="","",$G158*$J158)</f>
        <v/>
      </c>
      <c r="M158" s="33">
        <f>IF($A158="","",$G158*$K158)</f>
        <v/>
      </c>
      <c r="N158" s="34">
        <f>IF($A158="","",IFERROR(($K158-$J158)/$K158,0))</f>
        <v/>
      </c>
    </row>
    <row r="159">
      <c r="A159" s="22" t="n"/>
      <c r="B159" s="23" t="n"/>
      <c r="C159" s="22" t="n"/>
      <c r="D159" s="24" t="n"/>
      <c r="E159" s="30">
        <f>IF($A159="","",SUMIFS('1_Compras_e_Inventario_Inicial'!$G$11:$G$510,'1_Compras_e_Inventario_Inicial'!$D$11:$D$510,$A159))</f>
        <v/>
      </c>
      <c r="F159" s="30">
        <f>IF($A159="","",SUMIFS('3_Ventas_Diarias'!$E$11:$E$610,'3_Ventas_Diarias'!$C$11:$C$610,$A159))</f>
        <v/>
      </c>
      <c r="G159" s="31">
        <f>IF($A159="","",N($D159)+N($E159)-N($F159))</f>
        <v/>
      </c>
      <c r="H159" s="24" t="n"/>
      <c r="I159" s="32">
        <f>IF($A159="","",IF($G159&lt;=0,"🔴 SIN STOCK",IF($G159&lt;=$H159,"🟠 REPONER",IF($G159&lt;=$H159*1.5,"🟡 VIGILAR","🟢 OK"))))</f>
        <v/>
      </c>
      <c r="J159" s="33">
        <f>IF($A159="","",IFERROR(SUMIFS('1_Compras_e_Inventario_Inicial'!$I$11:$I$510,'1_Compras_e_Inventario_Inicial'!$D$11:$D$510,$A159)/SUMIFS('1_Compras_e_Inventario_Inicial'!$G$11:$G$510,'1_Compras_e_Inventario_Inicial'!$D$11:$D$510,$A159),0))</f>
        <v/>
      </c>
      <c r="K159" s="25" t="n"/>
      <c r="L159" s="33">
        <f>IF($A159="","",$G159*$J159)</f>
        <v/>
      </c>
      <c r="M159" s="33">
        <f>IF($A159="","",$G159*$K159)</f>
        <v/>
      </c>
      <c r="N159" s="34">
        <f>IF($A159="","",IFERROR(($K159-$J159)/$K159,0))</f>
        <v/>
      </c>
    </row>
    <row r="160">
      <c r="A160" s="22" t="n"/>
      <c r="B160" s="23" t="n"/>
      <c r="C160" s="22" t="n"/>
      <c r="D160" s="24" t="n"/>
      <c r="E160" s="30">
        <f>IF($A160="","",SUMIFS('1_Compras_e_Inventario_Inicial'!$G$11:$G$510,'1_Compras_e_Inventario_Inicial'!$D$11:$D$510,$A160))</f>
        <v/>
      </c>
      <c r="F160" s="30">
        <f>IF($A160="","",SUMIFS('3_Ventas_Diarias'!$E$11:$E$610,'3_Ventas_Diarias'!$C$11:$C$610,$A160))</f>
        <v/>
      </c>
      <c r="G160" s="31">
        <f>IF($A160="","",N($D160)+N($E160)-N($F160))</f>
        <v/>
      </c>
      <c r="H160" s="24" t="n"/>
      <c r="I160" s="32">
        <f>IF($A160="","",IF($G160&lt;=0,"🔴 SIN STOCK",IF($G160&lt;=$H160,"🟠 REPONER",IF($G160&lt;=$H160*1.5,"🟡 VIGILAR","🟢 OK"))))</f>
        <v/>
      </c>
      <c r="J160" s="33">
        <f>IF($A160="","",IFERROR(SUMIFS('1_Compras_e_Inventario_Inicial'!$I$11:$I$510,'1_Compras_e_Inventario_Inicial'!$D$11:$D$510,$A160)/SUMIFS('1_Compras_e_Inventario_Inicial'!$G$11:$G$510,'1_Compras_e_Inventario_Inicial'!$D$11:$D$510,$A160),0))</f>
        <v/>
      </c>
      <c r="K160" s="25" t="n"/>
      <c r="L160" s="33">
        <f>IF($A160="","",$G160*$J160)</f>
        <v/>
      </c>
      <c r="M160" s="33">
        <f>IF($A160="","",$G160*$K160)</f>
        <v/>
      </c>
      <c r="N160" s="34">
        <f>IF($A160="","",IFERROR(($K160-$J160)/$K160,0))</f>
        <v/>
      </c>
    </row>
    <row r="161">
      <c r="A161" s="22" t="n"/>
      <c r="B161" s="23" t="n"/>
      <c r="C161" s="22" t="n"/>
      <c r="D161" s="24" t="n"/>
      <c r="E161" s="30">
        <f>IF($A161="","",SUMIFS('1_Compras_e_Inventario_Inicial'!$G$11:$G$510,'1_Compras_e_Inventario_Inicial'!$D$11:$D$510,$A161))</f>
        <v/>
      </c>
      <c r="F161" s="30">
        <f>IF($A161="","",SUMIFS('3_Ventas_Diarias'!$E$11:$E$610,'3_Ventas_Diarias'!$C$11:$C$610,$A161))</f>
        <v/>
      </c>
      <c r="G161" s="31">
        <f>IF($A161="","",N($D161)+N($E161)-N($F161))</f>
        <v/>
      </c>
      <c r="H161" s="24" t="n"/>
      <c r="I161" s="32">
        <f>IF($A161="","",IF($G161&lt;=0,"🔴 SIN STOCK",IF($G161&lt;=$H161,"🟠 REPONER",IF($G161&lt;=$H161*1.5,"🟡 VIGILAR","🟢 OK"))))</f>
        <v/>
      </c>
      <c r="J161" s="33">
        <f>IF($A161="","",IFERROR(SUMIFS('1_Compras_e_Inventario_Inicial'!$I$11:$I$510,'1_Compras_e_Inventario_Inicial'!$D$11:$D$510,$A161)/SUMIFS('1_Compras_e_Inventario_Inicial'!$G$11:$G$510,'1_Compras_e_Inventario_Inicial'!$D$11:$D$510,$A161),0))</f>
        <v/>
      </c>
      <c r="K161" s="25" t="n"/>
      <c r="L161" s="33">
        <f>IF($A161="","",$G161*$J161)</f>
        <v/>
      </c>
      <c r="M161" s="33">
        <f>IF($A161="","",$G161*$K161)</f>
        <v/>
      </c>
      <c r="N161" s="34">
        <f>IF($A161="","",IFERROR(($K161-$J161)/$K161,0))</f>
        <v/>
      </c>
    </row>
    <row r="162">
      <c r="A162" s="22" t="n"/>
      <c r="B162" s="23" t="n"/>
      <c r="C162" s="22" t="n"/>
      <c r="D162" s="24" t="n"/>
      <c r="E162" s="30">
        <f>IF($A162="","",SUMIFS('1_Compras_e_Inventario_Inicial'!$G$11:$G$510,'1_Compras_e_Inventario_Inicial'!$D$11:$D$510,$A162))</f>
        <v/>
      </c>
      <c r="F162" s="30">
        <f>IF($A162="","",SUMIFS('3_Ventas_Diarias'!$E$11:$E$610,'3_Ventas_Diarias'!$C$11:$C$610,$A162))</f>
        <v/>
      </c>
      <c r="G162" s="31">
        <f>IF($A162="","",N($D162)+N($E162)-N($F162))</f>
        <v/>
      </c>
      <c r="H162" s="24" t="n"/>
      <c r="I162" s="32">
        <f>IF($A162="","",IF($G162&lt;=0,"🔴 SIN STOCK",IF($G162&lt;=$H162,"🟠 REPONER",IF($G162&lt;=$H162*1.5,"🟡 VIGILAR","🟢 OK"))))</f>
        <v/>
      </c>
      <c r="J162" s="33">
        <f>IF($A162="","",IFERROR(SUMIFS('1_Compras_e_Inventario_Inicial'!$I$11:$I$510,'1_Compras_e_Inventario_Inicial'!$D$11:$D$510,$A162)/SUMIFS('1_Compras_e_Inventario_Inicial'!$G$11:$G$510,'1_Compras_e_Inventario_Inicial'!$D$11:$D$510,$A162),0))</f>
        <v/>
      </c>
      <c r="K162" s="25" t="n"/>
      <c r="L162" s="33">
        <f>IF($A162="","",$G162*$J162)</f>
        <v/>
      </c>
      <c r="M162" s="33">
        <f>IF($A162="","",$G162*$K162)</f>
        <v/>
      </c>
      <c r="N162" s="34">
        <f>IF($A162="","",IFERROR(($K162-$J162)/$K162,0))</f>
        <v/>
      </c>
    </row>
    <row r="163">
      <c r="A163" s="22" t="n"/>
      <c r="B163" s="23" t="n"/>
      <c r="C163" s="22" t="n"/>
      <c r="D163" s="24" t="n"/>
      <c r="E163" s="30">
        <f>IF($A163="","",SUMIFS('1_Compras_e_Inventario_Inicial'!$G$11:$G$510,'1_Compras_e_Inventario_Inicial'!$D$11:$D$510,$A163))</f>
        <v/>
      </c>
      <c r="F163" s="30">
        <f>IF($A163="","",SUMIFS('3_Ventas_Diarias'!$E$11:$E$610,'3_Ventas_Diarias'!$C$11:$C$610,$A163))</f>
        <v/>
      </c>
      <c r="G163" s="31">
        <f>IF($A163="","",N($D163)+N($E163)-N($F163))</f>
        <v/>
      </c>
      <c r="H163" s="24" t="n"/>
      <c r="I163" s="32">
        <f>IF($A163="","",IF($G163&lt;=0,"🔴 SIN STOCK",IF($G163&lt;=$H163,"🟠 REPONER",IF($G163&lt;=$H163*1.5,"🟡 VIGILAR","🟢 OK"))))</f>
        <v/>
      </c>
      <c r="J163" s="33">
        <f>IF($A163="","",IFERROR(SUMIFS('1_Compras_e_Inventario_Inicial'!$I$11:$I$510,'1_Compras_e_Inventario_Inicial'!$D$11:$D$510,$A163)/SUMIFS('1_Compras_e_Inventario_Inicial'!$G$11:$G$510,'1_Compras_e_Inventario_Inicial'!$D$11:$D$510,$A163),0))</f>
        <v/>
      </c>
      <c r="K163" s="25" t="n"/>
      <c r="L163" s="33">
        <f>IF($A163="","",$G163*$J163)</f>
        <v/>
      </c>
      <c r="M163" s="33">
        <f>IF($A163="","",$G163*$K163)</f>
        <v/>
      </c>
      <c r="N163" s="34">
        <f>IF($A163="","",IFERROR(($K163-$J163)/$K163,0))</f>
        <v/>
      </c>
    </row>
    <row r="164">
      <c r="A164" s="22" t="n"/>
      <c r="B164" s="23" t="n"/>
      <c r="C164" s="22" t="n"/>
      <c r="D164" s="24" t="n"/>
      <c r="E164" s="30">
        <f>IF($A164="","",SUMIFS('1_Compras_e_Inventario_Inicial'!$G$11:$G$510,'1_Compras_e_Inventario_Inicial'!$D$11:$D$510,$A164))</f>
        <v/>
      </c>
      <c r="F164" s="30">
        <f>IF($A164="","",SUMIFS('3_Ventas_Diarias'!$E$11:$E$610,'3_Ventas_Diarias'!$C$11:$C$610,$A164))</f>
        <v/>
      </c>
      <c r="G164" s="31">
        <f>IF($A164="","",N($D164)+N($E164)-N($F164))</f>
        <v/>
      </c>
      <c r="H164" s="24" t="n"/>
      <c r="I164" s="32">
        <f>IF($A164="","",IF($G164&lt;=0,"🔴 SIN STOCK",IF($G164&lt;=$H164,"🟠 REPONER",IF($G164&lt;=$H164*1.5,"🟡 VIGILAR","🟢 OK"))))</f>
        <v/>
      </c>
      <c r="J164" s="33">
        <f>IF($A164="","",IFERROR(SUMIFS('1_Compras_e_Inventario_Inicial'!$I$11:$I$510,'1_Compras_e_Inventario_Inicial'!$D$11:$D$510,$A164)/SUMIFS('1_Compras_e_Inventario_Inicial'!$G$11:$G$510,'1_Compras_e_Inventario_Inicial'!$D$11:$D$510,$A164),0))</f>
        <v/>
      </c>
      <c r="K164" s="25" t="n"/>
      <c r="L164" s="33">
        <f>IF($A164="","",$G164*$J164)</f>
        <v/>
      </c>
      <c r="M164" s="33">
        <f>IF($A164="","",$G164*$K164)</f>
        <v/>
      </c>
      <c r="N164" s="34">
        <f>IF($A164="","",IFERROR(($K164-$J164)/$K164,0))</f>
        <v/>
      </c>
    </row>
    <row r="165">
      <c r="A165" s="22" t="n"/>
      <c r="B165" s="23" t="n"/>
      <c r="C165" s="22" t="n"/>
      <c r="D165" s="24" t="n"/>
      <c r="E165" s="30">
        <f>IF($A165="","",SUMIFS('1_Compras_e_Inventario_Inicial'!$G$11:$G$510,'1_Compras_e_Inventario_Inicial'!$D$11:$D$510,$A165))</f>
        <v/>
      </c>
      <c r="F165" s="30">
        <f>IF($A165="","",SUMIFS('3_Ventas_Diarias'!$E$11:$E$610,'3_Ventas_Diarias'!$C$11:$C$610,$A165))</f>
        <v/>
      </c>
      <c r="G165" s="31">
        <f>IF($A165="","",N($D165)+N($E165)-N($F165))</f>
        <v/>
      </c>
      <c r="H165" s="24" t="n"/>
      <c r="I165" s="32">
        <f>IF($A165="","",IF($G165&lt;=0,"🔴 SIN STOCK",IF($G165&lt;=$H165,"🟠 REPONER",IF($G165&lt;=$H165*1.5,"🟡 VIGILAR","🟢 OK"))))</f>
        <v/>
      </c>
      <c r="J165" s="33">
        <f>IF($A165="","",IFERROR(SUMIFS('1_Compras_e_Inventario_Inicial'!$I$11:$I$510,'1_Compras_e_Inventario_Inicial'!$D$11:$D$510,$A165)/SUMIFS('1_Compras_e_Inventario_Inicial'!$G$11:$G$510,'1_Compras_e_Inventario_Inicial'!$D$11:$D$510,$A165),0))</f>
        <v/>
      </c>
      <c r="K165" s="25" t="n"/>
      <c r="L165" s="33">
        <f>IF($A165="","",$G165*$J165)</f>
        <v/>
      </c>
      <c r="M165" s="33">
        <f>IF($A165="","",$G165*$K165)</f>
        <v/>
      </c>
      <c r="N165" s="34">
        <f>IF($A165="","",IFERROR(($K165-$J165)/$K165,0))</f>
        <v/>
      </c>
    </row>
    <row r="166">
      <c r="A166" s="22" t="n"/>
      <c r="B166" s="23" t="n"/>
      <c r="C166" s="22" t="n"/>
      <c r="D166" s="24" t="n"/>
      <c r="E166" s="30">
        <f>IF($A166="","",SUMIFS('1_Compras_e_Inventario_Inicial'!$G$11:$G$510,'1_Compras_e_Inventario_Inicial'!$D$11:$D$510,$A166))</f>
        <v/>
      </c>
      <c r="F166" s="30">
        <f>IF($A166="","",SUMIFS('3_Ventas_Diarias'!$E$11:$E$610,'3_Ventas_Diarias'!$C$11:$C$610,$A166))</f>
        <v/>
      </c>
      <c r="G166" s="31">
        <f>IF($A166="","",N($D166)+N($E166)-N($F166))</f>
        <v/>
      </c>
      <c r="H166" s="24" t="n"/>
      <c r="I166" s="32">
        <f>IF($A166="","",IF($G166&lt;=0,"🔴 SIN STOCK",IF($G166&lt;=$H166,"🟠 REPONER",IF($G166&lt;=$H166*1.5,"🟡 VIGILAR","🟢 OK"))))</f>
        <v/>
      </c>
      <c r="J166" s="33">
        <f>IF($A166="","",IFERROR(SUMIFS('1_Compras_e_Inventario_Inicial'!$I$11:$I$510,'1_Compras_e_Inventario_Inicial'!$D$11:$D$510,$A166)/SUMIFS('1_Compras_e_Inventario_Inicial'!$G$11:$G$510,'1_Compras_e_Inventario_Inicial'!$D$11:$D$510,$A166),0))</f>
        <v/>
      </c>
      <c r="K166" s="25" t="n"/>
      <c r="L166" s="33">
        <f>IF($A166="","",$G166*$J166)</f>
        <v/>
      </c>
      <c r="M166" s="33">
        <f>IF($A166="","",$G166*$K166)</f>
        <v/>
      </c>
      <c r="N166" s="34">
        <f>IF($A166="","",IFERROR(($K166-$J166)/$K166,0))</f>
        <v/>
      </c>
    </row>
    <row r="167">
      <c r="A167" s="22" t="n"/>
      <c r="B167" s="23" t="n"/>
      <c r="C167" s="22" t="n"/>
      <c r="D167" s="24" t="n"/>
      <c r="E167" s="30">
        <f>IF($A167="","",SUMIFS('1_Compras_e_Inventario_Inicial'!$G$11:$G$510,'1_Compras_e_Inventario_Inicial'!$D$11:$D$510,$A167))</f>
        <v/>
      </c>
      <c r="F167" s="30">
        <f>IF($A167="","",SUMIFS('3_Ventas_Diarias'!$E$11:$E$610,'3_Ventas_Diarias'!$C$11:$C$610,$A167))</f>
        <v/>
      </c>
      <c r="G167" s="31">
        <f>IF($A167="","",N($D167)+N($E167)-N($F167))</f>
        <v/>
      </c>
      <c r="H167" s="24" t="n"/>
      <c r="I167" s="32">
        <f>IF($A167="","",IF($G167&lt;=0,"🔴 SIN STOCK",IF($G167&lt;=$H167,"🟠 REPONER",IF($G167&lt;=$H167*1.5,"🟡 VIGILAR","🟢 OK"))))</f>
        <v/>
      </c>
      <c r="J167" s="33">
        <f>IF($A167="","",IFERROR(SUMIFS('1_Compras_e_Inventario_Inicial'!$I$11:$I$510,'1_Compras_e_Inventario_Inicial'!$D$11:$D$510,$A167)/SUMIFS('1_Compras_e_Inventario_Inicial'!$G$11:$G$510,'1_Compras_e_Inventario_Inicial'!$D$11:$D$510,$A167),0))</f>
        <v/>
      </c>
      <c r="K167" s="25" t="n"/>
      <c r="L167" s="33">
        <f>IF($A167="","",$G167*$J167)</f>
        <v/>
      </c>
      <c r="M167" s="33">
        <f>IF($A167="","",$G167*$K167)</f>
        <v/>
      </c>
      <c r="N167" s="34">
        <f>IF($A167="","",IFERROR(($K167-$J167)/$K167,0))</f>
        <v/>
      </c>
    </row>
    <row r="168">
      <c r="A168" s="22" t="n"/>
      <c r="B168" s="23" t="n"/>
      <c r="C168" s="22" t="n"/>
      <c r="D168" s="24" t="n"/>
      <c r="E168" s="30">
        <f>IF($A168="","",SUMIFS('1_Compras_e_Inventario_Inicial'!$G$11:$G$510,'1_Compras_e_Inventario_Inicial'!$D$11:$D$510,$A168))</f>
        <v/>
      </c>
      <c r="F168" s="30">
        <f>IF($A168="","",SUMIFS('3_Ventas_Diarias'!$E$11:$E$610,'3_Ventas_Diarias'!$C$11:$C$610,$A168))</f>
        <v/>
      </c>
      <c r="G168" s="31">
        <f>IF($A168="","",N($D168)+N($E168)-N($F168))</f>
        <v/>
      </c>
      <c r="H168" s="24" t="n"/>
      <c r="I168" s="32">
        <f>IF($A168="","",IF($G168&lt;=0,"🔴 SIN STOCK",IF($G168&lt;=$H168,"🟠 REPONER",IF($G168&lt;=$H168*1.5,"🟡 VIGILAR","🟢 OK"))))</f>
        <v/>
      </c>
      <c r="J168" s="33">
        <f>IF($A168="","",IFERROR(SUMIFS('1_Compras_e_Inventario_Inicial'!$I$11:$I$510,'1_Compras_e_Inventario_Inicial'!$D$11:$D$510,$A168)/SUMIFS('1_Compras_e_Inventario_Inicial'!$G$11:$G$510,'1_Compras_e_Inventario_Inicial'!$D$11:$D$510,$A168),0))</f>
        <v/>
      </c>
      <c r="K168" s="25" t="n"/>
      <c r="L168" s="33">
        <f>IF($A168="","",$G168*$J168)</f>
        <v/>
      </c>
      <c r="M168" s="33">
        <f>IF($A168="","",$G168*$K168)</f>
        <v/>
      </c>
      <c r="N168" s="34">
        <f>IF($A168="","",IFERROR(($K168-$J168)/$K168,0))</f>
        <v/>
      </c>
    </row>
    <row r="169">
      <c r="A169" s="22" t="n"/>
      <c r="B169" s="23" t="n"/>
      <c r="C169" s="22" t="n"/>
      <c r="D169" s="24" t="n"/>
      <c r="E169" s="30">
        <f>IF($A169="","",SUMIFS('1_Compras_e_Inventario_Inicial'!$G$11:$G$510,'1_Compras_e_Inventario_Inicial'!$D$11:$D$510,$A169))</f>
        <v/>
      </c>
      <c r="F169" s="30">
        <f>IF($A169="","",SUMIFS('3_Ventas_Diarias'!$E$11:$E$610,'3_Ventas_Diarias'!$C$11:$C$610,$A169))</f>
        <v/>
      </c>
      <c r="G169" s="31">
        <f>IF($A169="","",N($D169)+N($E169)-N($F169))</f>
        <v/>
      </c>
      <c r="H169" s="24" t="n"/>
      <c r="I169" s="32">
        <f>IF($A169="","",IF($G169&lt;=0,"🔴 SIN STOCK",IF($G169&lt;=$H169,"🟠 REPONER",IF($G169&lt;=$H169*1.5,"🟡 VIGILAR","🟢 OK"))))</f>
        <v/>
      </c>
      <c r="J169" s="33">
        <f>IF($A169="","",IFERROR(SUMIFS('1_Compras_e_Inventario_Inicial'!$I$11:$I$510,'1_Compras_e_Inventario_Inicial'!$D$11:$D$510,$A169)/SUMIFS('1_Compras_e_Inventario_Inicial'!$G$11:$G$510,'1_Compras_e_Inventario_Inicial'!$D$11:$D$510,$A169),0))</f>
        <v/>
      </c>
      <c r="K169" s="25" t="n"/>
      <c r="L169" s="33">
        <f>IF($A169="","",$G169*$J169)</f>
        <v/>
      </c>
      <c r="M169" s="33">
        <f>IF($A169="","",$G169*$K169)</f>
        <v/>
      </c>
      <c r="N169" s="34">
        <f>IF($A169="","",IFERROR(($K169-$J169)/$K169,0))</f>
        <v/>
      </c>
    </row>
    <row r="170">
      <c r="A170" s="22" t="n"/>
      <c r="B170" s="23" t="n"/>
      <c r="C170" s="22" t="n"/>
      <c r="D170" s="24" t="n"/>
      <c r="E170" s="30">
        <f>IF($A170="","",SUMIFS('1_Compras_e_Inventario_Inicial'!$G$11:$G$510,'1_Compras_e_Inventario_Inicial'!$D$11:$D$510,$A170))</f>
        <v/>
      </c>
      <c r="F170" s="30">
        <f>IF($A170="","",SUMIFS('3_Ventas_Diarias'!$E$11:$E$610,'3_Ventas_Diarias'!$C$11:$C$610,$A170))</f>
        <v/>
      </c>
      <c r="G170" s="31">
        <f>IF($A170="","",N($D170)+N($E170)-N($F170))</f>
        <v/>
      </c>
      <c r="H170" s="24" t="n"/>
      <c r="I170" s="32">
        <f>IF($A170="","",IF($G170&lt;=0,"🔴 SIN STOCK",IF($G170&lt;=$H170,"🟠 REPONER",IF($G170&lt;=$H170*1.5,"🟡 VIGILAR","🟢 OK"))))</f>
        <v/>
      </c>
      <c r="J170" s="33">
        <f>IF($A170="","",IFERROR(SUMIFS('1_Compras_e_Inventario_Inicial'!$I$11:$I$510,'1_Compras_e_Inventario_Inicial'!$D$11:$D$510,$A170)/SUMIFS('1_Compras_e_Inventario_Inicial'!$G$11:$G$510,'1_Compras_e_Inventario_Inicial'!$D$11:$D$510,$A170),0))</f>
        <v/>
      </c>
      <c r="K170" s="25" t="n"/>
      <c r="L170" s="33">
        <f>IF($A170="","",$G170*$J170)</f>
        <v/>
      </c>
      <c r="M170" s="33">
        <f>IF($A170="","",$G170*$K170)</f>
        <v/>
      </c>
      <c r="N170" s="34">
        <f>IF($A170="","",IFERROR(($K170-$J170)/$K170,0))</f>
        <v/>
      </c>
    </row>
    <row r="171">
      <c r="A171" s="22" t="n"/>
      <c r="B171" s="23" t="n"/>
      <c r="C171" s="22" t="n"/>
      <c r="D171" s="24" t="n"/>
      <c r="E171" s="30">
        <f>IF($A171="","",SUMIFS('1_Compras_e_Inventario_Inicial'!$G$11:$G$510,'1_Compras_e_Inventario_Inicial'!$D$11:$D$510,$A171))</f>
        <v/>
      </c>
      <c r="F171" s="30">
        <f>IF($A171="","",SUMIFS('3_Ventas_Diarias'!$E$11:$E$610,'3_Ventas_Diarias'!$C$11:$C$610,$A171))</f>
        <v/>
      </c>
      <c r="G171" s="31">
        <f>IF($A171="","",N($D171)+N($E171)-N($F171))</f>
        <v/>
      </c>
      <c r="H171" s="24" t="n"/>
      <c r="I171" s="32">
        <f>IF($A171="","",IF($G171&lt;=0,"🔴 SIN STOCK",IF($G171&lt;=$H171,"🟠 REPONER",IF($G171&lt;=$H171*1.5,"🟡 VIGILAR","🟢 OK"))))</f>
        <v/>
      </c>
      <c r="J171" s="33">
        <f>IF($A171="","",IFERROR(SUMIFS('1_Compras_e_Inventario_Inicial'!$I$11:$I$510,'1_Compras_e_Inventario_Inicial'!$D$11:$D$510,$A171)/SUMIFS('1_Compras_e_Inventario_Inicial'!$G$11:$G$510,'1_Compras_e_Inventario_Inicial'!$D$11:$D$510,$A171),0))</f>
        <v/>
      </c>
      <c r="K171" s="25" t="n"/>
      <c r="L171" s="33">
        <f>IF($A171="","",$G171*$J171)</f>
        <v/>
      </c>
      <c r="M171" s="33">
        <f>IF($A171="","",$G171*$K171)</f>
        <v/>
      </c>
      <c r="N171" s="34">
        <f>IF($A171="","",IFERROR(($K171-$J171)/$K171,0))</f>
        <v/>
      </c>
    </row>
    <row r="172">
      <c r="A172" s="22" t="n"/>
      <c r="B172" s="23" t="n"/>
      <c r="C172" s="22" t="n"/>
      <c r="D172" s="24" t="n"/>
      <c r="E172" s="30">
        <f>IF($A172="","",SUMIFS('1_Compras_e_Inventario_Inicial'!$G$11:$G$510,'1_Compras_e_Inventario_Inicial'!$D$11:$D$510,$A172))</f>
        <v/>
      </c>
      <c r="F172" s="30">
        <f>IF($A172="","",SUMIFS('3_Ventas_Diarias'!$E$11:$E$610,'3_Ventas_Diarias'!$C$11:$C$610,$A172))</f>
        <v/>
      </c>
      <c r="G172" s="31">
        <f>IF($A172="","",N($D172)+N($E172)-N($F172))</f>
        <v/>
      </c>
      <c r="H172" s="24" t="n"/>
      <c r="I172" s="32">
        <f>IF($A172="","",IF($G172&lt;=0,"🔴 SIN STOCK",IF($G172&lt;=$H172,"🟠 REPONER",IF($G172&lt;=$H172*1.5,"🟡 VIGILAR","🟢 OK"))))</f>
        <v/>
      </c>
      <c r="J172" s="33">
        <f>IF($A172="","",IFERROR(SUMIFS('1_Compras_e_Inventario_Inicial'!$I$11:$I$510,'1_Compras_e_Inventario_Inicial'!$D$11:$D$510,$A172)/SUMIFS('1_Compras_e_Inventario_Inicial'!$G$11:$G$510,'1_Compras_e_Inventario_Inicial'!$D$11:$D$510,$A172),0))</f>
        <v/>
      </c>
      <c r="K172" s="25" t="n"/>
      <c r="L172" s="33">
        <f>IF($A172="","",$G172*$J172)</f>
        <v/>
      </c>
      <c r="M172" s="33">
        <f>IF($A172="","",$G172*$K172)</f>
        <v/>
      </c>
      <c r="N172" s="34">
        <f>IF($A172="","",IFERROR(($K172-$J172)/$K172,0))</f>
        <v/>
      </c>
    </row>
    <row r="173">
      <c r="A173" s="22" t="n"/>
      <c r="B173" s="23" t="n"/>
      <c r="C173" s="22" t="n"/>
      <c r="D173" s="24" t="n"/>
      <c r="E173" s="30">
        <f>IF($A173="","",SUMIFS('1_Compras_e_Inventario_Inicial'!$G$11:$G$510,'1_Compras_e_Inventario_Inicial'!$D$11:$D$510,$A173))</f>
        <v/>
      </c>
      <c r="F173" s="30">
        <f>IF($A173="","",SUMIFS('3_Ventas_Diarias'!$E$11:$E$610,'3_Ventas_Diarias'!$C$11:$C$610,$A173))</f>
        <v/>
      </c>
      <c r="G173" s="31">
        <f>IF($A173="","",N($D173)+N($E173)-N($F173))</f>
        <v/>
      </c>
      <c r="H173" s="24" t="n"/>
      <c r="I173" s="32">
        <f>IF($A173="","",IF($G173&lt;=0,"🔴 SIN STOCK",IF($G173&lt;=$H173,"🟠 REPONER",IF($G173&lt;=$H173*1.5,"🟡 VIGILAR","🟢 OK"))))</f>
        <v/>
      </c>
      <c r="J173" s="33">
        <f>IF($A173="","",IFERROR(SUMIFS('1_Compras_e_Inventario_Inicial'!$I$11:$I$510,'1_Compras_e_Inventario_Inicial'!$D$11:$D$510,$A173)/SUMIFS('1_Compras_e_Inventario_Inicial'!$G$11:$G$510,'1_Compras_e_Inventario_Inicial'!$D$11:$D$510,$A173),0))</f>
        <v/>
      </c>
      <c r="K173" s="25" t="n"/>
      <c r="L173" s="33">
        <f>IF($A173="","",$G173*$J173)</f>
        <v/>
      </c>
      <c r="M173" s="33">
        <f>IF($A173="","",$G173*$K173)</f>
        <v/>
      </c>
      <c r="N173" s="34">
        <f>IF($A173="","",IFERROR(($K173-$J173)/$K173,0))</f>
        <v/>
      </c>
    </row>
    <row r="174">
      <c r="A174" s="22" t="n"/>
      <c r="B174" s="23" t="n"/>
      <c r="C174" s="22" t="n"/>
      <c r="D174" s="24" t="n"/>
      <c r="E174" s="30">
        <f>IF($A174="","",SUMIFS('1_Compras_e_Inventario_Inicial'!$G$11:$G$510,'1_Compras_e_Inventario_Inicial'!$D$11:$D$510,$A174))</f>
        <v/>
      </c>
      <c r="F174" s="30">
        <f>IF($A174="","",SUMIFS('3_Ventas_Diarias'!$E$11:$E$610,'3_Ventas_Diarias'!$C$11:$C$610,$A174))</f>
        <v/>
      </c>
      <c r="G174" s="31">
        <f>IF($A174="","",N($D174)+N($E174)-N($F174))</f>
        <v/>
      </c>
      <c r="H174" s="24" t="n"/>
      <c r="I174" s="32">
        <f>IF($A174="","",IF($G174&lt;=0,"🔴 SIN STOCK",IF($G174&lt;=$H174,"🟠 REPONER",IF($G174&lt;=$H174*1.5,"🟡 VIGILAR","🟢 OK"))))</f>
        <v/>
      </c>
      <c r="J174" s="33">
        <f>IF($A174="","",IFERROR(SUMIFS('1_Compras_e_Inventario_Inicial'!$I$11:$I$510,'1_Compras_e_Inventario_Inicial'!$D$11:$D$510,$A174)/SUMIFS('1_Compras_e_Inventario_Inicial'!$G$11:$G$510,'1_Compras_e_Inventario_Inicial'!$D$11:$D$510,$A174),0))</f>
        <v/>
      </c>
      <c r="K174" s="25" t="n"/>
      <c r="L174" s="33">
        <f>IF($A174="","",$G174*$J174)</f>
        <v/>
      </c>
      <c r="M174" s="33">
        <f>IF($A174="","",$G174*$K174)</f>
        <v/>
      </c>
      <c r="N174" s="34">
        <f>IF($A174="","",IFERROR(($K174-$J174)/$K174,0))</f>
        <v/>
      </c>
    </row>
    <row r="175">
      <c r="A175" s="22" t="n"/>
      <c r="B175" s="23" t="n"/>
      <c r="C175" s="22" t="n"/>
      <c r="D175" s="24" t="n"/>
      <c r="E175" s="30">
        <f>IF($A175="","",SUMIFS('1_Compras_e_Inventario_Inicial'!$G$11:$G$510,'1_Compras_e_Inventario_Inicial'!$D$11:$D$510,$A175))</f>
        <v/>
      </c>
      <c r="F175" s="30">
        <f>IF($A175="","",SUMIFS('3_Ventas_Diarias'!$E$11:$E$610,'3_Ventas_Diarias'!$C$11:$C$610,$A175))</f>
        <v/>
      </c>
      <c r="G175" s="31">
        <f>IF($A175="","",N($D175)+N($E175)-N($F175))</f>
        <v/>
      </c>
      <c r="H175" s="24" t="n"/>
      <c r="I175" s="32">
        <f>IF($A175="","",IF($G175&lt;=0,"🔴 SIN STOCK",IF($G175&lt;=$H175,"🟠 REPONER",IF($G175&lt;=$H175*1.5,"🟡 VIGILAR","🟢 OK"))))</f>
        <v/>
      </c>
      <c r="J175" s="33">
        <f>IF($A175="","",IFERROR(SUMIFS('1_Compras_e_Inventario_Inicial'!$I$11:$I$510,'1_Compras_e_Inventario_Inicial'!$D$11:$D$510,$A175)/SUMIFS('1_Compras_e_Inventario_Inicial'!$G$11:$G$510,'1_Compras_e_Inventario_Inicial'!$D$11:$D$510,$A175),0))</f>
        <v/>
      </c>
      <c r="K175" s="25" t="n"/>
      <c r="L175" s="33">
        <f>IF($A175="","",$G175*$J175)</f>
        <v/>
      </c>
      <c r="M175" s="33">
        <f>IF($A175="","",$G175*$K175)</f>
        <v/>
      </c>
      <c r="N175" s="34">
        <f>IF($A175="","",IFERROR(($K175-$J175)/$K175,0))</f>
        <v/>
      </c>
    </row>
    <row r="176">
      <c r="A176" s="22" t="n"/>
      <c r="B176" s="23" t="n"/>
      <c r="C176" s="22" t="n"/>
      <c r="D176" s="24" t="n"/>
      <c r="E176" s="30">
        <f>IF($A176="","",SUMIFS('1_Compras_e_Inventario_Inicial'!$G$11:$G$510,'1_Compras_e_Inventario_Inicial'!$D$11:$D$510,$A176))</f>
        <v/>
      </c>
      <c r="F176" s="30">
        <f>IF($A176="","",SUMIFS('3_Ventas_Diarias'!$E$11:$E$610,'3_Ventas_Diarias'!$C$11:$C$610,$A176))</f>
        <v/>
      </c>
      <c r="G176" s="31">
        <f>IF($A176="","",N($D176)+N($E176)-N($F176))</f>
        <v/>
      </c>
      <c r="H176" s="24" t="n"/>
      <c r="I176" s="32">
        <f>IF($A176="","",IF($G176&lt;=0,"🔴 SIN STOCK",IF($G176&lt;=$H176,"🟠 REPONER",IF($G176&lt;=$H176*1.5,"🟡 VIGILAR","🟢 OK"))))</f>
        <v/>
      </c>
      <c r="J176" s="33">
        <f>IF($A176="","",IFERROR(SUMIFS('1_Compras_e_Inventario_Inicial'!$I$11:$I$510,'1_Compras_e_Inventario_Inicial'!$D$11:$D$510,$A176)/SUMIFS('1_Compras_e_Inventario_Inicial'!$G$11:$G$510,'1_Compras_e_Inventario_Inicial'!$D$11:$D$510,$A176),0))</f>
        <v/>
      </c>
      <c r="K176" s="25" t="n"/>
      <c r="L176" s="33">
        <f>IF($A176="","",$G176*$J176)</f>
        <v/>
      </c>
      <c r="M176" s="33">
        <f>IF($A176="","",$G176*$K176)</f>
        <v/>
      </c>
      <c r="N176" s="34">
        <f>IF($A176="","",IFERROR(($K176-$J176)/$K176,0))</f>
        <v/>
      </c>
    </row>
    <row r="177">
      <c r="A177" s="22" t="n"/>
      <c r="B177" s="23" t="n"/>
      <c r="C177" s="22" t="n"/>
      <c r="D177" s="24" t="n"/>
      <c r="E177" s="30">
        <f>IF($A177="","",SUMIFS('1_Compras_e_Inventario_Inicial'!$G$11:$G$510,'1_Compras_e_Inventario_Inicial'!$D$11:$D$510,$A177))</f>
        <v/>
      </c>
      <c r="F177" s="30">
        <f>IF($A177="","",SUMIFS('3_Ventas_Diarias'!$E$11:$E$610,'3_Ventas_Diarias'!$C$11:$C$610,$A177))</f>
        <v/>
      </c>
      <c r="G177" s="31">
        <f>IF($A177="","",N($D177)+N($E177)-N($F177))</f>
        <v/>
      </c>
      <c r="H177" s="24" t="n"/>
      <c r="I177" s="32">
        <f>IF($A177="","",IF($G177&lt;=0,"🔴 SIN STOCK",IF($G177&lt;=$H177,"🟠 REPONER",IF($G177&lt;=$H177*1.5,"🟡 VIGILAR","🟢 OK"))))</f>
        <v/>
      </c>
      <c r="J177" s="33">
        <f>IF($A177="","",IFERROR(SUMIFS('1_Compras_e_Inventario_Inicial'!$I$11:$I$510,'1_Compras_e_Inventario_Inicial'!$D$11:$D$510,$A177)/SUMIFS('1_Compras_e_Inventario_Inicial'!$G$11:$G$510,'1_Compras_e_Inventario_Inicial'!$D$11:$D$510,$A177),0))</f>
        <v/>
      </c>
      <c r="K177" s="25" t="n"/>
      <c r="L177" s="33">
        <f>IF($A177="","",$G177*$J177)</f>
        <v/>
      </c>
      <c r="M177" s="33">
        <f>IF($A177="","",$G177*$K177)</f>
        <v/>
      </c>
      <c r="N177" s="34">
        <f>IF($A177="","",IFERROR(($K177-$J177)/$K177,0))</f>
        <v/>
      </c>
    </row>
    <row r="178">
      <c r="A178" s="22" t="n"/>
      <c r="B178" s="23" t="n"/>
      <c r="C178" s="22" t="n"/>
      <c r="D178" s="24" t="n"/>
      <c r="E178" s="30">
        <f>IF($A178="","",SUMIFS('1_Compras_e_Inventario_Inicial'!$G$11:$G$510,'1_Compras_e_Inventario_Inicial'!$D$11:$D$510,$A178))</f>
        <v/>
      </c>
      <c r="F178" s="30">
        <f>IF($A178="","",SUMIFS('3_Ventas_Diarias'!$E$11:$E$610,'3_Ventas_Diarias'!$C$11:$C$610,$A178))</f>
        <v/>
      </c>
      <c r="G178" s="31">
        <f>IF($A178="","",N($D178)+N($E178)-N($F178))</f>
        <v/>
      </c>
      <c r="H178" s="24" t="n"/>
      <c r="I178" s="32">
        <f>IF($A178="","",IF($G178&lt;=0,"🔴 SIN STOCK",IF($G178&lt;=$H178,"🟠 REPONER",IF($G178&lt;=$H178*1.5,"🟡 VIGILAR","🟢 OK"))))</f>
        <v/>
      </c>
      <c r="J178" s="33">
        <f>IF($A178="","",IFERROR(SUMIFS('1_Compras_e_Inventario_Inicial'!$I$11:$I$510,'1_Compras_e_Inventario_Inicial'!$D$11:$D$510,$A178)/SUMIFS('1_Compras_e_Inventario_Inicial'!$G$11:$G$510,'1_Compras_e_Inventario_Inicial'!$D$11:$D$510,$A178),0))</f>
        <v/>
      </c>
      <c r="K178" s="25" t="n"/>
      <c r="L178" s="33">
        <f>IF($A178="","",$G178*$J178)</f>
        <v/>
      </c>
      <c r="M178" s="33">
        <f>IF($A178="","",$G178*$K178)</f>
        <v/>
      </c>
      <c r="N178" s="34">
        <f>IF($A178="","",IFERROR(($K178-$J178)/$K178,0))</f>
        <v/>
      </c>
    </row>
    <row r="179">
      <c r="A179" s="22" t="n"/>
      <c r="B179" s="23" t="n"/>
      <c r="C179" s="22" t="n"/>
      <c r="D179" s="24" t="n"/>
      <c r="E179" s="30">
        <f>IF($A179="","",SUMIFS('1_Compras_e_Inventario_Inicial'!$G$11:$G$510,'1_Compras_e_Inventario_Inicial'!$D$11:$D$510,$A179))</f>
        <v/>
      </c>
      <c r="F179" s="30">
        <f>IF($A179="","",SUMIFS('3_Ventas_Diarias'!$E$11:$E$610,'3_Ventas_Diarias'!$C$11:$C$610,$A179))</f>
        <v/>
      </c>
      <c r="G179" s="31">
        <f>IF($A179="","",N($D179)+N($E179)-N($F179))</f>
        <v/>
      </c>
      <c r="H179" s="24" t="n"/>
      <c r="I179" s="32">
        <f>IF($A179="","",IF($G179&lt;=0,"🔴 SIN STOCK",IF($G179&lt;=$H179,"🟠 REPONER",IF($G179&lt;=$H179*1.5,"🟡 VIGILAR","🟢 OK"))))</f>
        <v/>
      </c>
      <c r="J179" s="33">
        <f>IF($A179="","",IFERROR(SUMIFS('1_Compras_e_Inventario_Inicial'!$I$11:$I$510,'1_Compras_e_Inventario_Inicial'!$D$11:$D$510,$A179)/SUMIFS('1_Compras_e_Inventario_Inicial'!$G$11:$G$510,'1_Compras_e_Inventario_Inicial'!$D$11:$D$510,$A179),0))</f>
        <v/>
      </c>
      <c r="K179" s="25" t="n"/>
      <c r="L179" s="33">
        <f>IF($A179="","",$G179*$J179)</f>
        <v/>
      </c>
      <c r="M179" s="33">
        <f>IF($A179="","",$G179*$K179)</f>
        <v/>
      </c>
      <c r="N179" s="34">
        <f>IF($A179="","",IFERROR(($K179-$J179)/$K179,0))</f>
        <v/>
      </c>
    </row>
    <row r="180">
      <c r="A180" s="22" t="n"/>
      <c r="B180" s="23" t="n"/>
      <c r="C180" s="22" t="n"/>
      <c r="D180" s="24" t="n"/>
      <c r="E180" s="30">
        <f>IF($A180="","",SUMIFS('1_Compras_e_Inventario_Inicial'!$G$11:$G$510,'1_Compras_e_Inventario_Inicial'!$D$11:$D$510,$A180))</f>
        <v/>
      </c>
      <c r="F180" s="30">
        <f>IF($A180="","",SUMIFS('3_Ventas_Diarias'!$E$11:$E$610,'3_Ventas_Diarias'!$C$11:$C$610,$A180))</f>
        <v/>
      </c>
      <c r="G180" s="31">
        <f>IF($A180="","",N($D180)+N($E180)-N($F180))</f>
        <v/>
      </c>
      <c r="H180" s="24" t="n"/>
      <c r="I180" s="32">
        <f>IF($A180="","",IF($G180&lt;=0,"🔴 SIN STOCK",IF($G180&lt;=$H180,"🟠 REPONER",IF($G180&lt;=$H180*1.5,"🟡 VIGILAR","🟢 OK"))))</f>
        <v/>
      </c>
      <c r="J180" s="33">
        <f>IF($A180="","",IFERROR(SUMIFS('1_Compras_e_Inventario_Inicial'!$I$11:$I$510,'1_Compras_e_Inventario_Inicial'!$D$11:$D$510,$A180)/SUMIFS('1_Compras_e_Inventario_Inicial'!$G$11:$G$510,'1_Compras_e_Inventario_Inicial'!$D$11:$D$510,$A180),0))</f>
        <v/>
      </c>
      <c r="K180" s="25" t="n"/>
      <c r="L180" s="33">
        <f>IF($A180="","",$G180*$J180)</f>
        <v/>
      </c>
      <c r="M180" s="33">
        <f>IF($A180="","",$G180*$K180)</f>
        <v/>
      </c>
      <c r="N180" s="34">
        <f>IF($A180="","",IFERROR(($K180-$J180)/$K180,0))</f>
        <v/>
      </c>
    </row>
    <row r="181">
      <c r="A181" s="22" t="n"/>
      <c r="B181" s="23" t="n"/>
      <c r="C181" s="22" t="n"/>
      <c r="D181" s="24" t="n"/>
      <c r="E181" s="30">
        <f>IF($A181="","",SUMIFS('1_Compras_e_Inventario_Inicial'!$G$11:$G$510,'1_Compras_e_Inventario_Inicial'!$D$11:$D$510,$A181))</f>
        <v/>
      </c>
      <c r="F181" s="30">
        <f>IF($A181="","",SUMIFS('3_Ventas_Diarias'!$E$11:$E$610,'3_Ventas_Diarias'!$C$11:$C$610,$A181))</f>
        <v/>
      </c>
      <c r="G181" s="31">
        <f>IF($A181="","",N($D181)+N($E181)-N($F181))</f>
        <v/>
      </c>
      <c r="H181" s="24" t="n"/>
      <c r="I181" s="32">
        <f>IF($A181="","",IF($G181&lt;=0,"🔴 SIN STOCK",IF($G181&lt;=$H181,"🟠 REPONER",IF($G181&lt;=$H181*1.5,"🟡 VIGILAR","🟢 OK"))))</f>
        <v/>
      </c>
      <c r="J181" s="33">
        <f>IF($A181="","",IFERROR(SUMIFS('1_Compras_e_Inventario_Inicial'!$I$11:$I$510,'1_Compras_e_Inventario_Inicial'!$D$11:$D$510,$A181)/SUMIFS('1_Compras_e_Inventario_Inicial'!$G$11:$G$510,'1_Compras_e_Inventario_Inicial'!$D$11:$D$510,$A181),0))</f>
        <v/>
      </c>
      <c r="K181" s="25" t="n"/>
      <c r="L181" s="33">
        <f>IF($A181="","",$G181*$J181)</f>
        <v/>
      </c>
      <c r="M181" s="33">
        <f>IF($A181="","",$G181*$K181)</f>
        <v/>
      </c>
      <c r="N181" s="34">
        <f>IF($A181="","",IFERROR(($K181-$J181)/$K181,0))</f>
        <v/>
      </c>
    </row>
    <row r="182">
      <c r="A182" s="22" t="n"/>
      <c r="B182" s="23" t="n"/>
      <c r="C182" s="22" t="n"/>
      <c r="D182" s="24" t="n"/>
      <c r="E182" s="30">
        <f>IF($A182="","",SUMIFS('1_Compras_e_Inventario_Inicial'!$G$11:$G$510,'1_Compras_e_Inventario_Inicial'!$D$11:$D$510,$A182))</f>
        <v/>
      </c>
      <c r="F182" s="30">
        <f>IF($A182="","",SUMIFS('3_Ventas_Diarias'!$E$11:$E$610,'3_Ventas_Diarias'!$C$11:$C$610,$A182))</f>
        <v/>
      </c>
      <c r="G182" s="31">
        <f>IF($A182="","",N($D182)+N($E182)-N($F182))</f>
        <v/>
      </c>
      <c r="H182" s="24" t="n"/>
      <c r="I182" s="32">
        <f>IF($A182="","",IF($G182&lt;=0,"🔴 SIN STOCK",IF($G182&lt;=$H182,"🟠 REPONER",IF($G182&lt;=$H182*1.5,"🟡 VIGILAR","🟢 OK"))))</f>
        <v/>
      </c>
      <c r="J182" s="33">
        <f>IF($A182="","",IFERROR(SUMIFS('1_Compras_e_Inventario_Inicial'!$I$11:$I$510,'1_Compras_e_Inventario_Inicial'!$D$11:$D$510,$A182)/SUMIFS('1_Compras_e_Inventario_Inicial'!$G$11:$G$510,'1_Compras_e_Inventario_Inicial'!$D$11:$D$510,$A182),0))</f>
        <v/>
      </c>
      <c r="K182" s="25" t="n"/>
      <c r="L182" s="33">
        <f>IF($A182="","",$G182*$J182)</f>
        <v/>
      </c>
      <c r="M182" s="33">
        <f>IF($A182="","",$G182*$K182)</f>
        <v/>
      </c>
      <c r="N182" s="34">
        <f>IF($A182="","",IFERROR(($K182-$J182)/$K182,0))</f>
        <v/>
      </c>
    </row>
    <row r="183">
      <c r="A183" s="22" t="n"/>
      <c r="B183" s="23" t="n"/>
      <c r="C183" s="22" t="n"/>
      <c r="D183" s="24" t="n"/>
      <c r="E183" s="30">
        <f>IF($A183="","",SUMIFS('1_Compras_e_Inventario_Inicial'!$G$11:$G$510,'1_Compras_e_Inventario_Inicial'!$D$11:$D$510,$A183))</f>
        <v/>
      </c>
      <c r="F183" s="30">
        <f>IF($A183="","",SUMIFS('3_Ventas_Diarias'!$E$11:$E$610,'3_Ventas_Diarias'!$C$11:$C$610,$A183))</f>
        <v/>
      </c>
      <c r="G183" s="31">
        <f>IF($A183="","",N($D183)+N($E183)-N($F183))</f>
        <v/>
      </c>
      <c r="H183" s="24" t="n"/>
      <c r="I183" s="32">
        <f>IF($A183="","",IF($G183&lt;=0,"🔴 SIN STOCK",IF($G183&lt;=$H183,"🟠 REPONER",IF($G183&lt;=$H183*1.5,"🟡 VIGILAR","🟢 OK"))))</f>
        <v/>
      </c>
      <c r="J183" s="33">
        <f>IF($A183="","",IFERROR(SUMIFS('1_Compras_e_Inventario_Inicial'!$I$11:$I$510,'1_Compras_e_Inventario_Inicial'!$D$11:$D$510,$A183)/SUMIFS('1_Compras_e_Inventario_Inicial'!$G$11:$G$510,'1_Compras_e_Inventario_Inicial'!$D$11:$D$510,$A183),0))</f>
        <v/>
      </c>
      <c r="K183" s="25" t="n"/>
      <c r="L183" s="33">
        <f>IF($A183="","",$G183*$J183)</f>
        <v/>
      </c>
      <c r="M183" s="33">
        <f>IF($A183="","",$G183*$K183)</f>
        <v/>
      </c>
      <c r="N183" s="34">
        <f>IF($A183="","",IFERROR(($K183-$J183)/$K183,0))</f>
        <v/>
      </c>
    </row>
    <row r="184">
      <c r="A184" s="22" t="n"/>
      <c r="B184" s="23" t="n"/>
      <c r="C184" s="22" t="n"/>
      <c r="D184" s="24" t="n"/>
      <c r="E184" s="30">
        <f>IF($A184="","",SUMIFS('1_Compras_e_Inventario_Inicial'!$G$11:$G$510,'1_Compras_e_Inventario_Inicial'!$D$11:$D$510,$A184))</f>
        <v/>
      </c>
      <c r="F184" s="30">
        <f>IF($A184="","",SUMIFS('3_Ventas_Diarias'!$E$11:$E$610,'3_Ventas_Diarias'!$C$11:$C$610,$A184))</f>
        <v/>
      </c>
      <c r="G184" s="31">
        <f>IF($A184="","",N($D184)+N($E184)-N($F184))</f>
        <v/>
      </c>
      <c r="H184" s="24" t="n"/>
      <c r="I184" s="32">
        <f>IF($A184="","",IF($G184&lt;=0,"🔴 SIN STOCK",IF($G184&lt;=$H184,"🟠 REPONER",IF($G184&lt;=$H184*1.5,"🟡 VIGILAR","🟢 OK"))))</f>
        <v/>
      </c>
      <c r="J184" s="33">
        <f>IF($A184="","",IFERROR(SUMIFS('1_Compras_e_Inventario_Inicial'!$I$11:$I$510,'1_Compras_e_Inventario_Inicial'!$D$11:$D$510,$A184)/SUMIFS('1_Compras_e_Inventario_Inicial'!$G$11:$G$510,'1_Compras_e_Inventario_Inicial'!$D$11:$D$510,$A184),0))</f>
        <v/>
      </c>
      <c r="K184" s="25" t="n"/>
      <c r="L184" s="33">
        <f>IF($A184="","",$G184*$J184)</f>
        <v/>
      </c>
      <c r="M184" s="33">
        <f>IF($A184="","",$G184*$K184)</f>
        <v/>
      </c>
      <c r="N184" s="34">
        <f>IF($A184="","",IFERROR(($K184-$J184)/$K184,0))</f>
        <v/>
      </c>
    </row>
    <row r="185">
      <c r="A185" s="22" t="n"/>
      <c r="B185" s="23" t="n"/>
      <c r="C185" s="22" t="n"/>
      <c r="D185" s="24" t="n"/>
      <c r="E185" s="30">
        <f>IF($A185="","",SUMIFS('1_Compras_e_Inventario_Inicial'!$G$11:$G$510,'1_Compras_e_Inventario_Inicial'!$D$11:$D$510,$A185))</f>
        <v/>
      </c>
      <c r="F185" s="30">
        <f>IF($A185="","",SUMIFS('3_Ventas_Diarias'!$E$11:$E$610,'3_Ventas_Diarias'!$C$11:$C$610,$A185))</f>
        <v/>
      </c>
      <c r="G185" s="31">
        <f>IF($A185="","",N($D185)+N($E185)-N($F185))</f>
        <v/>
      </c>
      <c r="H185" s="24" t="n"/>
      <c r="I185" s="32">
        <f>IF($A185="","",IF($G185&lt;=0,"🔴 SIN STOCK",IF($G185&lt;=$H185,"🟠 REPONER",IF($G185&lt;=$H185*1.5,"🟡 VIGILAR","🟢 OK"))))</f>
        <v/>
      </c>
      <c r="J185" s="33">
        <f>IF($A185="","",IFERROR(SUMIFS('1_Compras_e_Inventario_Inicial'!$I$11:$I$510,'1_Compras_e_Inventario_Inicial'!$D$11:$D$510,$A185)/SUMIFS('1_Compras_e_Inventario_Inicial'!$G$11:$G$510,'1_Compras_e_Inventario_Inicial'!$D$11:$D$510,$A185),0))</f>
        <v/>
      </c>
      <c r="K185" s="25" t="n"/>
      <c r="L185" s="33">
        <f>IF($A185="","",$G185*$J185)</f>
        <v/>
      </c>
      <c r="M185" s="33">
        <f>IF($A185="","",$G185*$K185)</f>
        <v/>
      </c>
      <c r="N185" s="34">
        <f>IF($A185="","",IFERROR(($K185-$J185)/$K185,0))</f>
        <v/>
      </c>
    </row>
    <row r="186">
      <c r="A186" s="22" t="n"/>
      <c r="B186" s="23" t="n"/>
      <c r="C186" s="22" t="n"/>
      <c r="D186" s="24" t="n"/>
      <c r="E186" s="30">
        <f>IF($A186="","",SUMIFS('1_Compras_e_Inventario_Inicial'!$G$11:$G$510,'1_Compras_e_Inventario_Inicial'!$D$11:$D$510,$A186))</f>
        <v/>
      </c>
      <c r="F186" s="30">
        <f>IF($A186="","",SUMIFS('3_Ventas_Diarias'!$E$11:$E$610,'3_Ventas_Diarias'!$C$11:$C$610,$A186))</f>
        <v/>
      </c>
      <c r="G186" s="31">
        <f>IF($A186="","",N($D186)+N($E186)-N($F186))</f>
        <v/>
      </c>
      <c r="H186" s="24" t="n"/>
      <c r="I186" s="32">
        <f>IF($A186="","",IF($G186&lt;=0,"🔴 SIN STOCK",IF($G186&lt;=$H186,"🟠 REPONER",IF($G186&lt;=$H186*1.5,"🟡 VIGILAR","🟢 OK"))))</f>
        <v/>
      </c>
      <c r="J186" s="33">
        <f>IF($A186="","",IFERROR(SUMIFS('1_Compras_e_Inventario_Inicial'!$I$11:$I$510,'1_Compras_e_Inventario_Inicial'!$D$11:$D$510,$A186)/SUMIFS('1_Compras_e_Inventario_Inicial'!$G$11:$G$510,'1_Compras_e_Inventario_Inicial'!$D$11:$D$510,$A186),0))</f>
        <v/>
      </c>
      <c r="K186" s="25" t="n"/>
      <c r="L186" s="33">
        <f>IF($A186="","",$G186*$J186)</f>
        <v/>
      </c>
      <c r="M186" s="33">
        <f>IF($A186="","",$G186*$K186)</f>
        <v/>
      </c>
      <c r="N186" s="34">
        <f>IF($A186="","",IFERROR(($K186-$J186)/$K186,0))</f>
        <v/>
      </c>
    </row>
    <row r="187">
      <c r="A187" s="22" t="n"/>
      <c r="B187" s="23" t="n"/>
      <c r="C187" s="22" t="n"/>
      <c r="D187" s="24" t="n"/>
      <c r="E187" s="30">
        <f>IF($A187="","",SUMIFS('1_Compras_e_Inventario_Inicial'!$G$11:$G$510,'1_Compras_e_Inventario_Inicial'!$D$11:$D$510,$A187))</f>
        <v/>
      </c>
      <c r="F187" s="30">
        <f>IF($A187="","",SUMIFS('3_Ventas_Diarias'!$E$11:$E$610,'3_Ventas_Diarias'!$C$11:$C$610,$A187))</f>
        <v/>
      </c>
      <c r="G187" s="31">
        <f>IF($A187="","",N($D187)+N($E187)-N($F187))</f>
        <v/>
      </c>
      <c r="H187" s="24" t="n"/>
      <c r="I187" s="32">
        <f>IF($A187="","",IF($G187&lt;=0,"🔴 SIN STOCK",IF($G187&lt;=$H187,"🟠 REPONER",IF($G187&lt;=$H187*1.5,"🟡 VIGILAR","🟢 OK"))))</f>
        <v/>
      </c>
      <c r="J187" s="33">
        <f>IF($A187="","",IFERROR(SUMIFS('1_Compras_e_Inventario_Inicial'!$I$11:$I$510,'1_Compras_e_Inventario_Inicial'!$D$11:$D$510,$A187)/SUMIFS('1_Compras_e_Inventario_Inicial'!$G$11:$G$510,'1_Compras_e_Inventario_Inicial'!$D$11:$D$510,$A187),0))</f>
        <v/>
      </c>
      <c r="K187" s="25" t="n"/>
      <c r="L187" s="33">
        <f>IF($A187="","",$G187*$J187)</f>
        <v/>
      </c>
      <c r="M187" s="33">
        <f>IF($A187="","",$G187*$K187)</f>
        <v/>
      </c>
      <c r="N187" s="34">
        <f>IF($A187="","",IFERROR(($K187-$J187)/$K187,0))</f>
        <v/>
      </c>
    </row>
    <row r="188">
      <c r="A188" s="22" t="n"/>
      <c r="B188" s="23" t="n"/>
      <c r="C188" s="22" t="n"/>
      <c r="D188" s="24" t="n"/>
      <c r="E188" s="30">
        <f>IF($A188="","",SUMIFS('1_Compras_e_Inventario_Inicial'!$G$11:$G$510,'1_Compras_e_Inventario_Inicial'!$D$11:$D$510,$A188))</f>
        <v/>
      </c>
      <c r="F188" s="30">
        <f>IF($A188="","",SUMIFS('3_Ventas_Diarias'!$E$11:$E$610,'3_Ventas_Diarias'!$C$11:$C$610,$A188))</f>
        <v/>
      </c>
      <c r="G188" s="31">
        <f>IF($A188="","",N($D188)+N($E188)-N($F188))</f>
        <v/>
      </c>
      <c r="H188" s="24" t="n"/>
      <c r="I188" s="32">
        <f>IF($A188="","",IF($G188&lt;=0,"🔴 SIN STOCK",IF($G188&lt;=$H188,"🟠 REPONER",IF($G188&lt;=$H188*1.5,"🟡 VIGILAR","🟢 OK"))))</f>
        <v/>
      </c>
      <c r="J188" s="33">
        <f>IF($A188="","",IFERROR(SUMIFS('1_Compras_e_Inventario_Inicial'!$I$11:$I$510,'1_Compras_e_Inventario_Inicial'!$D$11:$D$510,$A188)/SUMIFS('1_Compras_e_Inventario_Inicial'!$G$11:$G$510,'1_Compras_e_Inventario_Inicial'!$D$11:$D$510,$A188),0))</f>
        <v/>
      </c>
      <c r="K188" s="25" t="n"/>
      <c r="L188" s="33">
        <f>IF($A188="","",$G188*$J188)</f>
        <v/>
      </c>
      <c r="M188" s="33">
        <f>IF($A188="","",$G188*$K188)</f>
        <v/>
      </c>
      <c r="N188" s="34">
        <f>IF($A188="","",IFERROR(($K188-$J188)/$K188,0))</f>
        <v/>
      </c>
    </row>
    <row r="189">
      <c r="A189" s="22" t="n"/>
      <c r="B189" s="23" t="n"/>
      <c r="C189" s="22" t="n"/>
      <c r="D189" s="24" t="n"/>
      <c r="E189" s="30">
        <f>IF($A189="","",SUMIFS('1_Compras_e_Inventario_Inicial'!$G$11:$G$510,'1_Compras_e_Inventario_Inicial'!$D$11:$D$510,$A189))</f>
        <v/>
      </c>
      <c r="F189" s="30">
        <f>IF($A189="","",SUMIFS('3_Ventas_Diarias'!$E$11:$E$610,'3_Ventas_Diarias'!$C$11:$C$610,$A189))</f>
        <v/>
      </c>
      <c r="G189" s="31">
        <f>IF($A189="","",N($D189)+N($E189)-N($F189))</f>
        <v/>
      </c>
      <c r="H189" s="24" t="n"/>
      <c r="I189" s="32">
        <f>IF($A189="","",IF($G189&lt;=0,"🔴 SIN STOCK",IF($G189&lt;=$H189,"🟠 REPONER",IF($G189&lt;=$H189*1.5,"🟡 VIGILAR","🟢 OK"))))</f>
        <v/>
      </c>
      <c r="J189" s="33">
        <f>IF($A189="","",IFERROR(SUMIFS('1_Compras_e_Inventario_Inicial'!$I$11:$I$510,'1_Compras_e_Inventario_Inicial'!$D$11:$D$510,$A189)/SUMIFS('1_Compras_e_Inventario_Inicial'!$G$11:$G$510,'1_Compras_e_Inventario_Inicial'!$D$11:$D$510,$A189),0))</f>
        <v/>
      </c>
      <c r="K189" s="25" t="n"/>
      <c r="L189" s="33">
        <f>IF($A189="","",$G189*$J189)</f>
        <v/>
      </c>
      <c r="M189" s="33">
        <f>IF($A189="","",$G189*$K189)</f>
        <v/>
      </c>
      <c r="N189" s="34">
        <f>IF($A189="","",IFERROR(($K189-$J189)/$K189,0))</f>
        <v/>
      </c>
    </row>
    <row r="190">
      <c r="A190" s="22" t="n"/>
      <c r="B190" s="23" t="n"/>
      <c r="C190" s="22" t="n"/>
      <c r="D190" s="24" t="n"/>
      <c r="E190" s="30">
        <f>IF($A190="","",SUMIFS('1_Compras_e_Inventario_Inicial'!$G$11:$G$510,'1_Compras_e_Inventario_Inicial'!$D$11:$D$510,$A190))</f>
        <v/>
      </c>
      <c r="F190" s="30">
        <f>IF($A190="","",SUMIFS('3_Ventas_Diarias'!$E$11:$E$610,'3_Ventas_Diarias'!$C$11:$C$610,$A190))</f>
        <v/>
      </c>
      <c r="G190" s="31">
        <f>IF($A190="","",N($D190)+N($E190)-N($F190))</f>
        <v/>
      </c>
      <c r="H190" s="24" t="n"/>
      <c r="I190" s="32">
        <f>IF($A190="","",IF($G190&lt;=0,"🔴 SIN STOCK",IF($G190&lt;=$H190,"🟠 REPONER",IF($G190&lt;=$H190*1.5,"🟡 VIGILAR","🟢 OK"))))</f>
        <v/>
      </c>
      <c r="J190" s="33">
        <f>IF($A190="","",IFERROR(SUMIFS('1_Compras_e_Inventario_Inicial'!$I$11:$I$510,'1_Compras_e_Inventario_Inicial'!$D$11:$D$510,$A190)/SUMIFS('1_Compras_e_Inventario_Inicial'!$G$11:$G$510,'1_Compras_e_Inventario_Inicial'!$D$11:$D$510,$A190),0))</f>
        <v/>
      </c>
      <c r="K190" s="25" t="n"/>
      <c r="L190" s="33">
        <f>IF($A190="","",$G190*$J190)</f>
        <v/>
      </c>
      <c r="M190" s="33">
        <f>IF($A190="","",$G190*$K190)</f>
        <v/>
      </c>
      <c r="N190" s="34">
        <f>IF($A190="","",IFERROR(($K190-$J190)/$K190,0))</f>
        <v/>
      </c>
    </row>
    <row r="191">
      <c r="A191" s="22" t="n"/>
      <c r="B191" s="23" t="n"/>
      <c r="C191" s="22" t="n"/>
      <c r="D191" s="24" t="n"/>
      <c r="E191" s="30">
        <f>IF($A191="","",SUMIFS('1_Compras_e_Inventario_Inicial'!$G$11:$G$510,'1_Compras_e_Inventario_Inicial'!$D$11:$D$510,$A191))</f>
        <v/>
      </c>
      <c r="F191" s="30">
        <f>IF($A191="","",SUMIFS('3_Ventas_Diarias'!$E$11:$E$610,'3_Ventas_Diarias'!$C$11:$C$610,$A191))</f>
        <v/>
      </c>
      <c r="G191" s="31">
        <f>IF($A191="","",N($D191)+N($E191)-N($F191))</f>
        <v/>
      </c>
      <c r="H191" s="24" t="n"/>
      <c r="I191" s="32">
        <f>IF($A191="","",IF($G191&lt;=0,"🔴 SIN STOCK",IF($G191&lt;=$H191,"🟠 REPONER",IF($G191&lt;=$H191*1.5,"🟡 VIGILAR","🟢 OK"))))</f>
        <v/>
      </c>
      <c r="J191" s="33">
        <f>IF($A191="","",IFERROR(SUMIFS('1_Compras_e_Inventario_Inicial'!$I$11:$I$510,'1_Compras_e_Inventario_Inicial'!$D$11:$D$510,$A191)/SUMIFS('1_Compras_e_Inventario_Inicial'!$G$11:$G$510,'1_Compras_e_Inventario_Inicial'!$D$11:$D$510,$A191),0))</f>
        <v/>
      </c>
      <c r="K191" s="25" t="n"/>
      <c r="L191" s="33">
        <f>IF($A191="","",$G191*$J191)</f>
        <v/>
      </c>
      <c r="M191" s="33">
        <f>IF($A191="","",$G191*$K191)</f>
        <v/>
      </c>
      <c r="N191" s="34">
        <f>IF($A191="","",IFERROR(($K191-$J191)/$K191,0))</f>
        <v/>
      </c>
    </row>
    <row r="192">
      <c r="A192" s="22" t="n"/>
      <c r="B192" s="23" t="n"/>
      <c r="C192" s="22" t="n"/>
      <c r="D192" s="24" t="n"/>
      <c r="E192" s="30">
        <f>IF($A192="","",SUMIFS('1_Compras_e_Inventario_Inicial'!$G$11:$G$510,'1_Compras_e_Inventario_Inicial'!$D$11:$D$510,$A192))</f>
        <v/>
      </c>
      <c r="F192" s="30">
        <f>IF($A192="","",SUMIFS('3_Ventas_Diarias'!$E$11:$E$610,'3_Ventas_Diarias'!$C$11:$C$610,$A192))</f>
        <v/>
      </c>
      <c r="G192" s="31">
        <f>IF($A192="","",N($D192)+N($E192)-N($F192))</f>
        <v/>
      </c>
      <c r="H192" s="24" t="n"/>
      <c r="I192" s="32">
        <f>IF($A192="","",IF($G192&lt;=0,"🔴 SIN STOCK",IF($G192&lt;=$H192,"🟠 REPONER",IF($G192&lt;=$H192*1.5,"🟡 VIGILAR","🟢 OK"))))</f>
        <v/>
      </c>
      <c r="J192" s="33">
        <f>IF($A192="","",IFERROR(SUMIFS('1_Compras_e_Inventario_Inicial'!$I$11:$I$510,'1_Compras_e_Inventario_Inicial'!$D$11:$D$510,$A192)/SUMIFS('1_Compras_e_Inventario_Inicial'!$G$11:$G$510,'1_Compras_e_Inventario_Inicial'!$D$11:$D$510,$A192),0))</f>
        <v/>
      </c>
      <c r="K192" s="25" t="n"/>
      <c r="L192" s="33">
        <f>IF($A192="","",$G192*$J192)</f>
        <v/>
      </c>
      <c r="M192" s="33">
        <f>IF($A192="","",$G192*$K192)</f>
        <v/>
      </c>
      <c r="N192" s="34">
        <f>IF($A192="","",IFERROR(($K192-$J192)/$K192,0))</f>
        <v/>
      </c>
    </row>
    <row r="193">
      <c r="A193" s="22" t="n"/>
      <c r="B193" s="23" t="n"/>
      <c r="C193" s="22" t="n"/>
      <c r="D193" s="24" t="n"/>
      <c r="E193" s="30">
        <f>IF($A193="","",SUMIFS('1_Compras_e_Inventario_Inicial'!$G$11:$G$510,'1_Compras_e_Inventario_Inicial'!$D$11:$D$510,$A193))</f>
        <v/>
      </c>
      <c r="F193" s="30">
        <f>IF($A193="","",SUMIFS('3_Ventas_Diarias'!$E$11:$E$610,'3_Ventas_Diarias'!$C$11:$C$610,$A193))</f>
        <v/>
      </c>
      <c r="G193" s="31">
        <f>IF($A193="","",N($D193)+N($E193)-N($F193))</f>
        <v/>
      </c>
      <c r="H193" s="24" t="n"/>
      <c r="I193" s="32">
        <f>IF($A193="","",IF($G193&lt;=0,"🔴 SIN STOCK",IF($G193&lt;=$H193,"🟠 REPONER",IF($G193&lt;=$H193*1.5,"🟡 VIGILAR","🟢 OK"))))</f>
        <v/>
      </c>
      <c r="J193" s="33">
        <f>IF($A193="","",IFERROR(SUMIFS('1_Compras_e_Inventario_Inicial'!$I$11:$I$510,'1_Compras_e_Inventario_Inicial'!$D$11:$D$510,$A193)/SUMIFS('1_Compras_e_Inventario_Inicial'!$G$11:$G$510,'1_Compras_e_Inventario_Inicial'!$D$11:$D$510,$A193),0))</f>
        <v/>
      </c>
      <c r="K193" s="25" t="n"/>
      <c r="L193" s="33">
        <f>IF($A193="","",$G193*$J193)</f>
        <v/>
      </c>
      <c r="M193" s="33">
        <f>IF($A193="","",$G193*$K193)</f>
        <v/>
      </c>
      <c r="N193" s="34">
        <f>IF($A193="","",IFERROR(($K193-$J193)/$K193,0))</f>
        <v/>
      </c>
    </row>
    <row r="194">
      <c r="A194" s="22" t="n"/>
      <c r="B194" s="23" t="n"/>
      <c r="C194" s="22" t="n"/>
      <c r="D194" s="24" t="n"/>
      <c r="E194" s="30">
        <f>IF($A194="","",SUMIFS('1_Compras_e_Inventario_Inicial'!$G$11:$G$510,'1_Compras_e_Inventario_Inicial'!$D$11:$D$510,$A194))</f>
        <v/>
      </c>
      <c r="F194" s="30">
        <f>IF($A194="","",SUMIFS('3_Ventas_Diarias'!$E$11:$E$610,'3_Ventas_Diarias'!$C$11:$C$610,$A194))</f>
        <v/>
      </c>
      <c r="G194" s="31">
        <f>IF($A194="","",N($D194)+N($E194)-N($F194))</f>
        <v/>
      </c>
      <c r="H194" s="24" t="n"/>
      <c r="I194" s="32">
        <f>IF($A194="","",IF($G194&lt;=0,"🔴 SIN STOCK",IF($G194&lt;=$H194,"🟠 REPONER",IF($G194&lt;=$H194*1.5,"🟡 VIGILAR","🟢 OK"))))</f>
        <v/>
      </c>
      <c r="J194" s="33">
        <f>IF($A194="","",IFERROR(SUMIFS('1_Compras_e_Inventario_Inicial'!$I$11:$I$510,'1_Compras_e_Inventario_Inicial'!$D$11:$D$510,$A194)/SUMIFS('1_Compras_e_Inventario_Inicial'!$G$11:$G$510,'1_Compras_e_Inventario_Inicial'!$D$11:$D$510,$A194),0))</f>
        <v/>
      </c>
      <c r="K194" s="25" t="n"/>
      <c r="L194" s="33">
        <f>IF($A194="","",$G194*$J194)</f>
        <v/>
      </c>
      <c r="M194" s="33">
        <f>IF($A194="","",$G194*$K194)</f>
        <v/>
      </c>
      <c r="N194" s="34">
        <f>IF($A194="","",IFERROR(($K194-$J194)/$K194,0))</f>
        <v/>
      </c>
    </row>
    <row r="195">
      <c r="A195" s="22" t="n"/>
      <c r="B195" s="23" t="n"/>
      <c r="C195" s="22" t="n"/>
      <c r="D195" s="24" t="n"/>
      <c r="E195" s="30">
        <f>IF($A195="","",SUMIFS('1_Compras_e_Inventario_Inicial'!$G$11:$G$510,'1_Compras_e_Inventario_Inicial'!$D$11:$D$510,$A195))</f>
        <v/>
      </c>
      <c r="F195" s="30">
        <f>IF($A195="","",SUMIFS('3_Ventas_Diarias'!$E$11:$E$610,'3_Ventas_Diarias'!$C$11:$C$610,$A195))</f>
        <v/>
      </c>
      <c r="G195" s="31">
        <f>IF($A195="","",N($D195)+N($E195)-N($F195))</f>
        <v/>
      </c>
      <c r="H195" s="24" t="n"/>
      <c r="I195" s="32">
        <f>IF($A195="","",IF($G195&lt;=0,"🔴 SIN STOCK",IF($G195&lt;=$H195,"🟠 REPONER",IF($G195&lt;=$H195*1.5,"🟡 VIGILAR","🟢 OK"))))</f>
        <v/>
      </c>
      <c r="J195" s="33">
        <f>IF($A195="","",IFERROR(SUMIFS('1_Compras_e_Inventario_Inicial'!$I$11:$I$510,'1_Compras_e_Inventario_Inicial'!$D$11:$D$510,$A195)/SUMIFS('1_Compras_e_Inventario_Inicial'!$G$11:$G$510,'1_Compras_e_Inventario_Inicial'!$D$11:$D$510,$A195),0))</f>
        <v/>
      </c>
      <c r="K195" s="25" t="n"/>
      <c r="L195" s="33">
        <f>IF($A195="","",$G195*$J195)</f>
        <v/>
      </c>
      <c r="M195" s="33">
        <f>IF($A195="","",$G195*$K195)</f>
        <v/>
      </c>
      <c r="N195" s="34">
        <f>IF($A195="","",IFERROR(($K195-$J195)/$K195,0))</f>
        <v/>
      </c>
    </row>
    <row r="196">
      <c r="A196" s="22" t="n"/>
      <c r="B196" s="23" t="n"/>
      <c r="C196" s="22" t="n"/>
      <c r="D196" s="24" t="n"/>
      <c r="E196" s="30">
        <f>IF($A196="","",SUMIFS('1_Compras_e_Inventario_Inicial'!$G$11:$G$510,'1_Compras_e_Inventario_Inicial'!$D$11:$D$510,$A196))</f>
        <v/>
      </c>
      <c r="F196" s="30">
        <f>IF($A196="","",SUMIFS('3_Ventas_Diarias'!$E$11:$E$610,'3_Ventas_Diarias'!$C$11:$C$610,$A196))</f>
        <v/>
      </c>
      <c r="G196" s="31">
        <f>IF($A196="","",N($D196)+N($E196)-N($F196))</f>
        <v/>
      </c>
      <c r="H196" s="24" t="n"/>
      <c r="I196" s="32">
        <f>IF($A196="","",IF($G196&lt;=0,"🔴 SIN STOCK",IF($G196&lt;=$H196,"🟠 REPONER",IF($G196&lt;=$H196*1.5,"🟡 VIGILAR","🟢 OK"))))</f>
        <v/>
      </c>
      <c r="J196" s="33">
        <f>IF($A196="","",IFERROR(SUMIFS('1_Compras_e_Inventario_Inicial'!$I$11:$I$510,'1_Compras_e_Inventario_Inicial'!$D$11:$D$510,$A196)/SUMIFS('1_Compras_e_Inventario_Inicial'!$G$11:$G$510,'1_Compras_e_Inventario_Inicial'!$D$11:$D$510,$A196),0))</f>
        <v/>
      </c>
      <c r="K196" s="25" t="n"/>
      <c r="L196" s="33">
        <f>IF($A196="","",$G196*$J196)</f>
        <v/>
      </c>
      <c r="M196" s="33">
        <f>IF($A196="","",$G196*$K196)</f>
        <v/>
      </c>
      <c r="N196" s="34">
        <f>IF($A196="","",IFERROR(($K196-$J196)/$K196,0))</f>
        <v/>
      </c>
    </row>
    <row r="197">
      <c r="A197" s="22" t="n"/>
      <c r="B197" s="23" t="n"/>
      <c r="C197" s="22" t="n"/>
      <c r="D197" s="24" t="n"/>
      <c r="E197" s="30">
        <f>IF($A197="","",SUMIFS('1_Compras_e_Inventario_Inicial'!$G$11:$G$510,'1_Compras_e_Inventario_Inicial'!$D$11:$D$510,$A197))</f>
        <v/>
      </c>
      <c r="F197" s="30">
        <f>IF($A197="","",SUMIFS('3_Ventas_Diarias'!$E$11:$E$610,'3_Ventas_Diarias'!$C$11:$C$610,$A197))</f>
        <v/>
      </c>
      <c r="G197" s="31">
        <f>IF($A197="","",N($D197)+N($E197)-N($F197))</f>
        <v/>
      </c>
      <c r="H197" s="24" t="n"/>
      <c r="I197" s="32">
        <f>IF($A197="","",IF($G197&lt;=0,"🔴 SIN STOCK",IF($G197&lt;=$H197,"🟠 REPONER",IF($G197&lt;=$H197*1.5,"🟡 VIGILAR","🟢 OK"))))</f>
        <v/>
      </c>
      <c r="J197" s="33">
        <f>IF($A197="","",IFERROR(SUMIFS('1_Compras_e_Inventario_Inicial'!$I$11:$I$510,'1_Compras_e_Inventario_Inicial'!$D$11:$D$510,$A197)/SUMIFS('1_Compras_e_Inventario_Inicial'!$G$11:$G$510,'1_Compras_e_Inventario_Inicial'!$D$11:$D$510,$A197),0))</f>
        <v/>
      </c>
      <c r="K197" s="25" t="n"/>
      <c r="L197" s="33">
        <f>IF($A197="","",$G197*$J197)</f>
        <v/>
      </c>
      <c r="M197" s="33">
        <f>IF($A197="","",$G197*$K197)</f>
        <v/>
      </c>
      <c r="N197" s="34">
        <f>IF($A197="","",IFERROR(($K197-$J197)/$K197,0))</f>
        <v/>
      </c>
    </row>
    <row r="198">
      <c r="A198" s="22" t="n"/>
      <c r="B198" s="23" t="n"/>
      <c r="C198" s="22" t="n"/>
      <c r="D198" s="24" t="n"/>
      <c r="E198" s="30">
        <f>IF($A198="","",SUMIFS('1_Compras_e_Inventario_Inicial'!$G$11:$G$510,'1_Compras_e_Inventario_Inicial'!$D$11:$D$510,$A198))</f>
        <v/>
      </c>
      <c r="F198" s="30">
        <f>IF($A198="","",SUMIFS('3_Ventas_Diarias'!$E$11:$E$610,'3_Ventas_Diarias'!$C$11:$C$610,$A198))</f>
        <v/>
      </c>
      <c r="G198" s="31">
        <f>IF($A198="","",N($D198)+N($E198)-N($F198))</f>
        <v/>
      </c>
      <c r="H198" s="24" t="n"/>
      <c r="I198" s="32">
        <f>IF($A198="","",IF($G198&lt;=0,"🔴 SIN STOCK",IF($G198&lt;=$H198,"🟠 REPONER",IF($G198&lt;=$H198*1.5,"🟡 VIGILAR","🟢 OK"))))</f>
        <v/>
      </c>
      <c r="J198" s="33">
        <f>IF($A198="","",IFERROR(SUMIFS('1_Compras_e_Inventario_Inicial'!$I$11:$I$510,'1_Compras_e_Inventario_Inicial'!$D$11:$D$510,$A198)/SUMIFS('1_Compras_e_Inventario_Inicial'!$G$11:$G$510,'1_Compras_e_Inventario_Inicial'!$D$11:$D$510,$A198),0))</f>
        <v/>
      </c>
      <c r="K198" s="25" t="n"/>
      <c r="L198" s="33">
        <f>IF($A198="","",$G198*$J198)</f>
        <v/>
      </c>
      <c r="M198" s="33">
        <f>IF($A198="","",$G198*$K198)</f>
        <v/>
      </c>
      <c r="N198" s="34">
        <f>IF($A198="","",IFERROR(($K198-$J198)/$K198,0))</f>
        <v/>
      </c>
    </row>
    <row r="199">
      <c r="A199" s="22" t="n"/>
      <c r="B199" s="23" t="n"/>
      <c r="C199" s="22" t="n"/>
      <c r="D199" s="24" t="n"/>
      <c r="E199" s="30">
        <f>IF($A199="","",SUMIFS('1_Compras_e_Inventario_Inicial'!$G$11:$G$510,'1_Compras_e_Inventario_Inicial'!$D$11:$D$510,$A199))</f>
        <v/>
      </c>
      <c r="F199" s="30">
        <f>IF($A199="","",SUMIFS('3_Ventas_Diarias'!$E$11:$E$610,'3_Ventas_Diarias'!$C$11:$C$610,$A199))</f>
        <v/>
      </c>
      <c r="G199" s="31">
        <f>IF($A199="","",N($D199)+N($E199)-N($F199))</f>
        <v/>
      </c>
      <c r="H199" s="24" t="n"/>
      <c r="I199" s="32">
        <f>IF($A199="","",IF($G199&lt;=0,"🔴 SIN STOCK",IF($G199&lt;=$H199,"🟠 REPONER",IF($G199&lt;=$H199*1.5,"🟡 VIGILAR","🟢 OK"))))</f>
        <v/>
      </c>
      <c r="J199" s="33">
        <f>IF($A199="","",IFERROR(SUMIFS('1_Compras_e_Inventario_Inicial'!$I$11:$I$510,'1_Compras_e_Inventario_Inicial'!$D$11:$D$510,$A199)/SUMIFS('1_Compras_e_Inventario_Inicial'!$G$11:$G$510,'1_Compras_e_Inventario_Inicial'!$D$11:$D$510,$A199),0))</f>
        <v/>
      </c>
      <c r="K199" s="25" t="n"/>
      <c r="L199" s="33">
        <f>IF($A199="","",$G199*$J199)</f>
        <v/>
      </c>
      <c r="M199" s="33">
        <f>IF($A199="","",$G199*$K199)</f>
        <v/>
      </c>
      <c r="N199" s="34">
        <f>IF($A199="","",IFERROR(($K199-$J199)/$K199,0))</f>
        <v/>
      </c>
    </row>
    <row r="200">
      <c r="A200" s="22" t="n"/>
      <c r="B200" s="23" t="n"/>
      <c r="C200" s="22" t="n"/>
      <c r="D200" s="24" t="n"/>
      <c r="E200" s="30">
        <f>IF($A200="","",SUMIFS('1_Compras_e_Inventario_Inicial'!$G$11:$G$510,'1_Compras_e_Inventario_Inicial'!$D$11:$D$510,$A200))</f>
        <v/>
      </c>
      <c r="F200" s="30">
        <f>IF($A200="","",SUMIFS('3_Ventas_Diarias'!$E$11:$E$610,'3_Ventas_Diarias'!$C$11:$C$610,$A200))</f>
        <v/>
      </c>
      <c r="G200" s="31">
        <f>IF($A200="","",N($D200)+N($E200)-N($F200))</f>
        <v/>
      </c>
      <c r="H200" s="24" t="n"/>
      <c r="I200" s="32">
        <f>IF($A200="","",IF($G200&lt;=0,"🔴 SIN STOCK",IF($G200&lt;=$H200,"🟠 REPONER",IF($G200&lt;=$H200*1.5,"🟡 VIGILAR","🟢 OK"))))</f>
        <v/>
      </c>
      <c r="J200" s="33">
        <f>IF($A200="","",IFERROR(SUMIFS('1_Compras_e_Inventario_Inicial'!$I$11:$I$510,'1_Compras_e_Inventario_Inicial'!$D$11:$D$510,$A200)/SUMIFS('1_Compras_e_Inventario_Inicial'!$G$11:$G$510,'1_Compras_e_Inventario_Inicial'!$D$11:$D$510,$A200),0))</f>
        <v/>
      </c>
      <c r="K200" s="25" t="n"/>
      <c r="L200" s="33">
        <f>IF($A200="","",$G200*$J200)</f>
        <v/>
      </c>
      <c r="M200" s="33">
        <f>IF($A200="","",$G200*$K200)</f>
        <v/>
      </c>
      <c r="N200" s="34">
        <f>IF($A200="","",IFERROR(($K200-$J200)/$K200,0))</f>
        <v/>
      </c>
    </row>
    <row r="201">
      <c r="A201" s="22" t="n"/>
      <c r="B201" s="23" t="n"/>
      <c r="C201" s="22" t="n"/>
      <c r="D201" s="24" t="n"/>
      <c r="E201" s="30">
        <f>IF($A201="","",SUMIFS('1_Compras_e_Inventario_Inicial'!$G$11:$G$510,'1_Compras_e_Inventario_Inicial'!$D$11:$D$510,$A201))</f>
        <v/>
      </c>
      <c r="F201" s="30">
        <f>IF($A201="","",SUMIFS('3_Ventas_Diarias'!$E$11:$E$610,'3_Ventas_Diarias'!$C$11:$C$610,$A201))</f>
        <v/>
      </c>
      <c r="G201" s="31">
        <f>IF($A201="","",N($D201)+N($E201)-N($F201))</f>
        <v/>
      </c>
      <c r="H201" s="24" t="n"/>
      <c r="I201" s="32">
        <f>IF($A201="","",IF($G201&lt;=0,"🔴 SIN STOCK",IF($G201&lt;=$H201,"🟠 REPONER",IF($G201&lt;=$H201*1.5,"🟡 VIGILAR","🟢 OK"))))</f>
        <v/>
      </c>
      <c r="J201" s="33">
        <f>IF($A201="","",IFERROR(SUMIFS('1_Compras_e_Inventario_Inicial'!$I$11:$I$510,'1_Compras_e_Inventario_Inicial'!$D$11:$D$510,$A201)/SUMIFS('1_Compras_e_Inventario_Inicial'!$G$11:$G$510,'1_Compras_e_Inventario_Inicial'!$D$11:$D$510,$A201),0))</f>
        <v/>
      </c>
      <c r="K201" s="25" t="n"/>
      <c r="L201" s="33">
        <f>IF($A201="","",$G201*$J201)</f>
        <v/>
      </c>
      <c r="M201" s="33">
        <f>IF($A201="","",$G201*$K201)</f>
        <v/>
      </c>
      <c r="N201" s="34">
        <f>IF($A201="","",IFERROR(($K201-$J201)/$K201,0))</f>
        <v/>
      </c>
    </row>
    <row r="202">
      <c r="A202" s="22" t="n"/>
      <c r="B202" s="23" t="n"/>
      <c r="C202" s="22" t="n"/>
      <c r="D202" s="24" t="n"/>
      <c r="E202" s="30">
        <f>IF($A202="","",SUMIFS('1_Compras_e_Inventario_Inicial'!$G$11:$G$510,'1_Compras_e_Inventario_Inicial'!$D$11:$D$510,$A202))</f>
        <v/>
      </c>
      <c r="F202" s="30">
        <f>IF($A202="","",SUMIFS('3_Ventas_Diarias'!$E$11:$E$610,'3_Ventas_Diarias'!$C$11:$C$610,$A202))</f>
        <v/>
      </c>
      <c r="G202" s="31">
        <f>IF($A202="","",N($D202)+N($E202)-N($F202))</f>
        <v/>
      </c>
      <c r="H202" s="24" t="n"/>
      <c r="I202" s="32">
        <f>IF($A202="","",IF($G202&lt;=0,"🔴 SIN STOCK",IF($G202&lt;=$H202,"🟠 REPONER",IF($G202&lt;=$H202*1.5,"🟡 VIGILAR","🟢 OK"))))</f>
        <v/>
      </c>
      <c r="J202" s="33">
        <f>IF($A202="","",IFERROR(SUMIFS('1_Compras_e_Inventario_Inicial'!$I$11:$I$510,'1_Compras_e_Inventario_Inicial'!$D$11:$D$510,$A202)/SUMIFS('1_Compras_e_Inventario_Inicial'!$G$11:$G$510,'1_Compras_e_Inventario_Inicial'!$D$11:$D$510,$A202),0))</f>
        <v/>
      </c>
      <c r="K202" s="25" t="n"/>
      <c r="L202" s="33">
        <f>IF($A202="","",$G202*$J202)</f>
        <v/>
      </c>
      <c r="M202" s="33">
        <f>IF($A202="","",$G202*$K202)</f>
        <v/>
      </c>
      <c r="N202" s="34">
        <f>IF($A202="","",IFERROR(($K202-$J202)/$K202,0))</f>
        <v/>
      </c>
    </row>
    <row r="203">
      <c r="A203" s="22" t="n"/>
      <c r="B203" s="23" t="n"/>
      <c r="C203" s="22" t="n"/>
      <c r="D203" s="24" t="n"/>
      <c r="E203" s="30">
        <f>IF($A203="","",SUMIFS('1_Compras_e_Inventario_Inicial'!$G$11:$G$510,'1_Compras_e_Inventario_Inicial'!$D$11:$D$510,$A203))</f>
        <v/>
      </c>
      <c r="F203" s="30">
        <f>IF($A203="","",SUMIFS('3_Ventas_Diarias'!$E$11:$E$610,'3_Ventas_Diarias'!$C$11:$C$610,$A203))</f>
        <v/>
      </c>
      <c r="G203" s="31">
        <f>IF($A203="","",N($D203)+N($E203)-N($F203))</f>
        <v/>
      </c>
      <c r="H203" s="24" t="n"/>
      <c r="I203" s="32">
        <f>IF($A203="","",IF($G203&lt;=0,"🔴 SIN STOCK",IF($G203&lt;=$H203,"🟠 REPONER",IF($G203&lt;=$H203*1.5,"🟡 VIGILAR","🟢 OK"))))</f>
        <v/>
      </c>
      <c r="J203" s="33">
        <f>IF($A203="","",IFERROR(SUMIFS('1_Compras_e_Inventario_Inicial'!$I$11:$I$510,'1_Compras_e_Inventario_Inicial'!$D$11:$D$510,$A203)/SUMIFS('1_Compras_e_Inventario_Inicial'!$G$11:$G$510,'1_Compras_e_Inventario_Inicial'!$D$11:$D$510,$A203),0))</f>
        <v/>
      </c>
      <c r="K203" s="25" t="n"/>
      <c r="L203" s="33">
        <f>IF($A203="","",$G203*$J203)</f>
        <v/>
      </c>
      <c r="M203" s="33">
        <f>IF($A203="","",$G203*$K203)</f>
        <v/>
      </c>
      <c r="N203" s="34">
        <f>IF($A203="","",IFERROR(($K203-$J203)/$K203,0))</f>
        <v/>
      </c>
    </row>
    <row r="204">
      <c r="A204" s="22" t="n"/>
      <c r="B204" s="23" t="n"/>
      <c r="C204" s="22" t="n"/>
      <c r="D204" s="24" t="n"/>
      <c r="E204" s="30">
        <f>IF($A204="","",SUMIFS('1_Compras_e_Inventario_Inicial'!$G$11:$G$510,'1_Compras_e_Inventario_Inicial'!$D$11:$D$510,$A204))</f>
        <v/>
      </c>
      <c r="F204" s="30">
        <f>IF($A204="","",SUMIFS('3_Ventas_Diarias'!$E$11:$E$610,'3_Ventas_Diarias'!$C$11:$C$610,$A204))</f>
        <v/>
      </c>
      <c r="G204" s="31">
        <f>IF($A204="","",N($D204)+N($E204)-N($F204))</f>
        <v/>
      </c>
      <c r="H204" s="24" t="n"/>
      <c r="I204" s="32">
        <f>IF($A204="","",IF($G204&lt;=0,"🔴 SIN STOCK",IF($G204&lt;=$H204,"🟠 REPONER",IF($G204&lt;=$H204*1.5,"🟡 VIGILAR","🟢 OK"))))</f>
        <v/>
      </c>
      <c r="J204" s="33">
        <f>IF($A204="","",IFERROR(SUMIFS('1_Compras_e_Inventario_Inicial'!$I$11:$I$510,'1_Compras_e_Inventario_Inicial'!$D$11:$D$510,$A204)/SUMIFS('1_Compras_e_Inventario_Inicial'!$G$11:$G$510,'1_Compras_e_Inventario_Inicial'!$D$11:$D$510,$A204),0))</f>
        <v/>
      </c>
      <c r="K204" s="25" t="n"/>
      <c r="L204" s="33">
        <f>IF($A204="","",$G204*$J204)</f>
        <v/>
      </c>
      <c r="M204" s="33">
        <f>IF($A204="","",$G204*$K204)</f>
        <v/>
      </c>
      <c r="N204" s="34">
        <f>IF($A204="","",IFERROR(($K204-$J204)/$K204,0))</f>
        <v/>
      </c>
    </row>
    <row r="205">
      <c r="A205" s="22" t="n"/>
      <c r="B205" s="23" t="n"/>
      <c r="C205" s="22" t="n"/>
      <c r="D205" s="24" t="n"/>
      <c r="E205" s="30">
        <f>IF($A205="","",SUMIFS('1_Compras_e_Inventario_Inicial'!$G$11:$G$510,'1_Compras_e_Inventario_Inicial'!$D$11:$D$510,$A205))</f>
        <v/>
      </c>
      <c r="F205" s="30">
        <f>IF($A205="","",SUMIFS('3_Ventas_Diarias'!$E$11:$E$610,'3_Ventas_Diarias'!$C$11:$C$610,$A205))</f>
        <v/>
      </c>
      <c r="G205" s="31">
        <f>IF($A205="","",N($D205)+N($E205)-N($F205))</f>
        <v/>
      </c>
      <c r="H205" s="24" t="n"/>
      <c r="I205" s="32">
        <f>IF($A205="","",IF($G205&lt;=0,"🔴 SIN STOCK",IF($G205&lt;=$H205,"🟠 REPONER",IF($G205&lt;=$H205*1.5,"🟡 VIGILAR","🟢 OK"))))</f>
        <v/>
      </c>
      <c r="J205" s="33">
        <f>IF($A205="","",IFERROR(SUMIFS('1_Compras_e_Inventario_Inicial'!$I$11:$I$510,'1_Compras_e_Inventario_Inicial'!$D$11:$D$510,$A205)/SUMIFS('1_Compras_e_Inventario_Inicial'!$G$11:$G$510,'1_Compras_e_Inventario_Inicial'!$D$11:$D$510,$A205),0))</f>
        <v/>
      </c>
      <c r="K205" s="25" t="n"/>
      <c r="L205" s="33">
        <f>IF($A205="","",$G205*$J205)</f>
        <v/>
      </c>
      <c r="M205" s="33">
        <f>IF($A205="","",$G205*$K205)</f>
        <v/>
      </c>
      <c r="N205" s="34">
        <f>IF($A205="","",IFERROR(($K205-$J205)/$K205,0))</f>
        <v/>
      </c>
    </row>
    <row r="206">
      <c r="A206" s="22" t="n"/>
      <c r="B206" s="23" t="n"/>
      <c r="C206" s="22" t="n"/>
      <c r="D206" s="24" t="n"/>
      <c r="E206" s="30">
        <f>IF($A206="","",SUMIFS('1_Compras_e_Inventario_Inicial'!$G$11:$G$510,'1_Compras_e_Inventario_Inicial'!$D$11:$D$510,$A206))</f>
        <v/>
      </c>
      <c r="F206" s="30">
        <f>IF($A206="","",SUMIFS('3_Ventas_Diarias'!$E$11:$E$610,'3_Ventas_Diarias'!$C$11:$C$610,$A206))</f>
        <v/>
      </c>
      <c r="G206" s="31">
        <f>IF($A206="","",N($D206)+N($E206)-N($F206))</f>
        <v/>
      </c>
      <c r="H206" s="24" t="n"/>
      <c r="I206" s="32">
        <f>IF($A206="","",IF($G206&lt;=0,"🔴 SIN STOCK",IF($G206&lt;=$H206,"🟠 REPONER",IF($G206&lt;=$H206*1.5,"🟡 VIGILAR","🟢 OK"))))</f>
        <v/>
      </c>
      <c r="J206" s="33">
        <f>IF($A206="","",IFERROR(SUMIFS('1_Compras_e_Inventario_Inicial'!$I$11:$I$510,'1_Compras_e_Inventario_Inicial'!$D$11:$D$510,$A206)/SUMIFS('1_Compras_e_Inventario_Inicial'!$G$11:$G$510,'1_Compras_e_Inventario_Inicial'!$D$11:$D$510,$A206),0))</f>
        <v/>
      </c>
      <c r="K206" s="25" t="n"/>
      <c r="L206" s="33">
        <f>IF($A206="","",$G206*$J206)</f>
        <v/>
      </c>
      <c r="M206" s="33">
        <f>IF($A206="","",$G206*$K206)</f>
        <v/>
      </c>
      <c r="N206" s="34">
        <f>IF($A206="","",IFERROR(($K206-$J206)/$K206,0))</f>
        <v/>
      </c>
    </row>
    <row r="207">
      <c r="A207" s="22" t="n"/>
      <c r="B207" s="23" t="n"/>
      <c r="C207" s="22" t="n"/>
      <c r="D207" s="24" t="n"/>
      <c r="E207" s="30">
        <f>IF($A207="","",SUMIFS('1_Compras_e_Inventario_Inicial'!$G$11:$G$510,'1_Compras_e_Inventario_Inicial'!$D$11:$D$510,$A207))</f>
        <v/>
      </c>
      <c r="F207" s="30">
        <f>IF($A207="","",SUMIFS('3_Ventas_Diarias'!$E$11:$E$610,'3_Ventas_Diarias'!$C$11:$C$610,$A207))</f>
        <v/>
      </c>
      <c r="G207" s="31">
        <f>IF($A207="","",N($D207)+N($E207)-N($F207))</f>
        <v/>
      </c>
      <c r="H207" s="24" t="n"/>
      <c r="I207" s="32">
        <f>IF($A207="","",IF($G207&lt;=0,"🔴 SIN STOCK",IF($G207&lt;=$H207,"🟠 REPONER",IF($G207&lt;=$H207*1.5,"🟡 VIGILAR","🟢 OK"))))</f>
        <v/>
      </c>
      <c r="J207" s="33">
        <f>IF($A207="","",IFERROR(SUMIFS('1_Compras_e_Inventario_Inicial'!$I$11:$I$510,'1_Compras_e_Inventario_Inicial'!$D$11:$D$510,$A207)/SUMIFS('1_Compras_e_Inventario_Inicial'!$G$11:$G$510,'1_Compras_e_Inventario_Inicial'!$D$11:$D$510,$A207),0))</f>
        <v/>
      </c>
      <c r="K207" s="25" t="n"/>
      <c r="L207" s="33">
        <f>IF($A207="","",$G207*$J207)</f>
        <v/>
      </c>
      <c r="M207" s="33">
        <f>IF($A207="","",$G207*$K207)</f>
        <v/>
      </c>
      <c r="N207" s="34">
        <f>IF($A207="","",IFERROR(($K207-$J207)/$K207,0))</f>
        <v/>
      </c>
    </row>
    <row r="208">
      <c r="A208" s="22" t="n"/>
      <c r="B208" s="23" t="n"/>
      <c r="C208" s="22" t="n"/>
      <c r="D208" s="24" t="n"/>
      <c r="E208" s="30">
        <f>IF($A208="","",SUMIFS('1_Compras_e_Inventario_Inicial'!$G$11:$G$510,'1_Compras_e_Inventario_Inicial'!$D$11:$D$510,$A208))</f>
        <v/>
      </c>
      <c r="F208" s="30">
        <f>IF($A208="","",SUMIFS('3_Ventas_Diarias'!$E$11:$E$610,'3_Ventas_Diarias'!$C$11:$C$610,$A208))</f>
        <v/>
      </c>
      <c r="G208" s="31">
        <f>IF($A208="","",N($D208)+N($E208)-N($F208))</f>
        <v/>
      </c>
      <c r="H208" s="24" t="n"/>
      <c r="I208" s="32">
        <f>IF($A208="","",IF($G208&lt;=0,"🔴 SIN STOCK",IF($G208&lt;=$H208,"🟠 REPONER",IF($G208&lt;=$H208*1.5,"🟡 VIGILAR","🟢 OK"))))</f>
        <v/>
      </c>
      <c r="J208" s="33">
        <f>IF($A208="","",IFERROR(SUMIFS('1_Compras_e_Inventario_Inicial'!$I$11:$I$510,'1_Compras_e_Inventario_Inicial'!$D$11:$D$510,$A208)/SUMIFS('1_Compras_e_Inventario_Inicial'!$G$11:$G$510,'1_Compras_e_Inventario_Inicial'!$D$11:$D$510,$A208),0))</f>
        <v/>
      </c>
      <c r="K208" s="25" t="n"/>
      <c r="L208" s="33">
        <f>IF($A208="","",$G208*$J208)</f>
        <v/>
      </c>
      <c r="M208" s="33">
        <f>IF($A208="","",$G208*$K208)</f>
        <v/>
      </c>
      <c r="N208" s="34">
        <f>IF($A208="","",IFERROR(($K208-$J208)/$K208,0))</f>
        <v/>
      </c>
    </row>
    <row r="209">
      <c r="A209" s="22" t="n"/>
      <c r="B209" s="23" t="n"/>
      <c r="C209" s="22" t="n"/>
      <c r="D209" s="24" t="n"/>
      <c r="E209" s="30">
        <f>IF($A209="","",SUMIFS('1_Compras_e_Inventario_Inicial'!$G$11:$G$510,'1_Compras_e_Inventario_Inicial'!$D$11:$D$510,$A209))</f>
        <v/>
      </c>
      <c r="F209" s="30">
        <f>IF($A209="","",SUMIFS('3_Ventas_Diarias'!$E$11:$E$610,'3_Ventas_Diarias'!$C$11:$C$610,$A209))</f>
        <v/>
      </c>
      <c r="G209" s="31">
        <f>IF($A209="","",N($D209)+N($E209)-N($F209))</f>
        <v/>
      </c>
      <c r="H209" s="24" t="n"/>
      <c r="I209" s="32">
        <f>IF($A209="","",IF($G209&lt;=0,"🔴 SIN STOCK",IF($G209&lt;=$H209,"🟠 REPONER",IF($G209&lt;=$H209*1.5,"🟡 VIGILAR","🟢 OK"))))</f>
        <v/>
      </c>
      <c r="J209" s="33">
        <f>IF($A209="","",IFERROR(SUMIFS('1_Compras_e_Inventario_Inicial'!$I$11:$I$510,'1_Compras_e_Inventario_Inicial'!$D$11:$D$510,$A209)/SUMIFS('1_Compras_e_Inventario_Inicial'!$G$11:$G$510,'1_Compras_e_Inventario_Inicial'!$D$11:$D$510,$A209),0))</f>
        <v/>
      </c>
      <c r="K209" s="25" t="n"/>
      <c r="L209" s="33">
        <f>IF($A209="","",$G209*$J209)</f>
        <v/>
      </c>
      <c r="M209" s="33">
        <f>IF($A209="","",$G209*$K209)</f>
        <v/>
      </c>
      <c r="N209" s="34">
        <f>IF($A209="","",IFERROR(($K209-$J209)/$K209,0))</f>
        <v/>
      </c>
    </row>
    <row r="210">
      <c r="A210" s="22" t="n"/>
      <c r="B210" s="23" t="n"/>
      <c r="C210" s="22" t="n"/>
      <c r="D210" s="24" t="n"/>
      <c r="E210" s="30">
        <f>IF($A210="","",SUMIFS('1_Compras_e_Inventario_Inicial'!$G$11:$G$510,'1_Compras_e_Inventario_Inicial'!$D$11:$D$510,$A210))</f>
        <v/>
      </c>
      <c r="F210" s="30">
        <f>IF($A210="","",SUMIFS('3_Ventas_Diarias'!$E$11:$E$610,'3_Ventas_Diarias'!$C$11:$C$610,$A210))</f>
        <v/>
      </c>
      <c r="G210" s="31">
        <f>IF($A210="","",N($D210)+N($E210)-N($F210))</f>
        <v/>
      </c>
      <c r="H210" s="24" t="n"/>
      <c r="I210" s="32">
        <f>IF($A210="","",IF($G210&lt;=0,"🔴 SIN STOCK",IF($G210&lt;=$H210,"🟠 REPONER",IF($G210&lt;=$H210*1.5,"🟡 VIGILAR","🟢 OK"))))</f>
        <v/>
      </c>
      <c r="J210" s="33">
        <f>IF($A210="","",IFERROR(SUMIFS('1_Compras_e_Inventario_Inicial'!$I$11:$I$510,'1_Compras_e_Inventario_Inicial'!$D$11:$D$510,$A210)/SUMIFS('1_Compras_e_Inventario_Inicial'!$G$11:$G$510,'1_Compras_e_Inventario_Inicial'!$D$11:$D$510,$A210),0))</f>
        <v/>
      </c>
      <c r="K210" s="25" t="n"/>
      <c r="L210" s="33">
        <f>IF($A210="","",$G210*$J210)</f>
        <v/>
      </c>
      <c r="M210" s="33">
        <f>IF($A210="","",$G210*$K210)</f>
        <v/>
      </c>
      <c r="N210" s="34">
        <f>IF($A210="","",IFERROR(($K210-$J210)/$K210,0))</f>
        <v/>
      </c>
    </row>
  </sheetData>
  <autoFilter ref="A10:N210"/>
  <mergeCells count="16">
    <mergeCell ref="A9:N9"/>
    <mergeCell ref="E6:F6"/>
    <mergeCell ref="C6:D6"/>
    <mergeCell ref="G7:H8"/>
    <mergeCell ref="I6:J6"/>
    <mergeCell ref="I7:J8"/>
    <mergeCell ref="C7:D8"/>
    <mergeCell ref="A7:B8"/>
    <mergeCell ref="K7:L8"/>
    <mergeCell ref="E7:F8"/>
    <mergeCell ref="M6:N6"/>
    <mergeCell ref="M7:N8"/>
    <mergeCell ref="K6:L6"/>
    <mergeCell ref="G6:H6"/>
    <mergeCell ref="A1:N4"/>
    <mergeCell ref="A6:B6"/>
  </mergeCells>
  <conditionalFormatting sqref="A11:N210">
    <cfRule type="expression" priority="1" dxfId="0" stopIfTrue="0">
      <formula>AND(MOD(ROW(),2)=0,$A11&lt;&gt;"")</formula>
    </cfRule>
    <cfRule type="expression" priority="2" dxfId="1" stopIfTrue="0">
      <formula>AND(MOD(ROW(),2)=1,$A11&lt;&gt;"")</formula>
    </cfRule>
    <cfRule type="expression" priority="7" dxfId="2" stopIfTrue="0">
      <formula>AND($A11&lt;&gt;"",$G11&lt;=$H11)</formula>
    </cfRule>
  </conditionalFormatting>
  <conditionalFormatting sqref="I11:I210">
    <cfRule type="expression" priority="3" dxfId="3" stopIfTrue="1">
      <formula>ISNUMBER(SEARCH("SIN STOCK",$I11))</formula>
    </cfRule>
    <cfRule type="expression" priority="4" dxfId="4" stopIfTrue="1">
      <formula>ISNUMBER(SEARCH("REPONER",$I11))</formula>
    </cfRule>
    <cfRule type="expression" priority="5" dxfId="5" stopIfTrue="1">
      <formula>ISNUMBER(SEARCH("VIGILAR",$I11))</formula>
    </cfRule>
    <cfRule type="expression" priority="6" dxfId="6" stopIfTrue="1">
      <formula>ISNUMBER(SEARCH("OK",$I11))</formula>
    </cfRule>
  </conditionalFormatting>
  <conditionalFormatting sqref="G11:G210">
    <cfRule type="dataBar" priority="8">
      <dataBar showValue="1">
        <cfvo type="num" val="0"/>
        <cfvo type="max"/>
        <color rgb="008E44AD"/>
      </dataBar>
    </cfRule>
  </conditionalFormatting>
  <conditionalFormatting sqref="N11:N210">
    <cfRule type="colorScale" priority="9">
      <colorScale>
        <cfvo type="num" val="0"/>
        <cfvo type="num" val="0.35"/>
        <cfvo type="num" val="0.7"/>
        <color rgb="FFF1948A"/>
        <color rgb="FFFCF3CF"/>
        <color rgb="FFD5F5E3"/>
      </colorScale>
    </cfRule>
  </conditionalFormatting>
  <dataValidations count="1">
    <dataValidation sqref="C11:C210" showDropDown="0" showInputMessage="1" showErrorMessage="1" allowBlank="1" errorTitle="Valor no permitido" error="Elige una categoría DAMABIS." promptTitle="Categoría" prompt="Elige una categoría DAMABIS." type="list">
      <formula1>=Lista_Categorias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85A8A"/>
    <outlinePr summaryBelow="1" summaryRight="1"/>
    <pageSetUpPr fitToPage="1"/>
  </sheetPr>
  <dimension ref="A1:K610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6" customWidth="1" min="4" max="4"/>
    <col width="11" customWidth="1" min="5" max="5"/>
    <col width="14" customWidth="1" min="6" max="6"/>
    <col width="14" customWidth="1" min="7" max="7"/>
    <col width="16" customWidth="1" min="8" max="8"/>
    <col width="15" customWidth="1" min="9" max="9"/>
    <col width="14" customWidth="1" min="10" max="10"/>
    <col width="18" customWidth="1" min="11" max="11"/>
  </cols>
  <sheetData>
    <row r="1" ht="20" customHeight="1">
      <c r="A1" s="15" t="inlineStr">
        <is>
          <t xml:space="preserve">   DAMABIS · Ventas Diarias
   Registro de ticket por ticket · Costo y ganancia automáticos</t>
        </is>
      </c>
    </row>
    <row r="2" ht="22" customHeight="1"/>
    <row r="3" ht="22" customHeight="1"/>
    <row r="4" ht="20" customHeight="1"/>
    <row r="5" ht="6" customHeight="1"/>
    <row r="6" ht="18" customHeight="1">
      <c r="A6" s="16" t="inlineStr">
        <is>
          <t>🛍️ VENTAS ACUMULADAS</t>
        </is>
      </c>
      <c r="B6" s="17" t="n"/>
      <c r="C6" s="16" t="inlineStr">
        <is>
          <t>💚 GANANCIA BRUTA</t>
        </is>
      </c>
      <c r="D6" s="17" t="n"/>
      <c r="E6" s="16" t="inlineStr">
        <is>
          <t>📦 UNIDADES VENDIDAS</t>
        </is>
      </c>
      <c r="F6" s="17" t="n"/>
      <c r="G6" s="16" t="inlineStr">
        <is>
          <t>🎟️ TICKET PROMEDIO</t>
        </is>
      </c>
      <c r="H6" s="17" t="n"/>
      <c r="I6" s="16" t="inlineStr">
        <is>
          <t>📊 MARGEN SOBRE VENTAS</t>
        </is>
      </c>
      <c r="J6" s="17" t="n"/>
      <c r="K6" s="17" t="n"/>
    </row>
    <row r="7" ht="14" customHeight="1">
      <c r="A7" s="18">
        <f>SUM(G11:G610)</f>
        <v/>
      </c>
      <c r="B7" s="17" t="n"/>
      <c r="C7" s="18">
        <f>SUM(J11:J610)</f>
        <v/>
      </c>
      <c r="D7" s="17" t="n"/>
      <c r="E7" s="19">
        <f>SUM(E11:E610)</f>
        <v/>
      </c>
      <c r="F7" s="17" t="n"/>
      <c r="G7" s="18">
        <f>IFERROR(SUM(G11:G610)/SUMPRODUCT((B11:B610&lt;&gt;"")/COUNTIF(B11:B610,B11:B610&amp;"")),0)</f>
        <v/>
      </c>
      <c r="H7" s="17" t="n"/>
      <c r="I7" s="29">
        <f>IFERROR(SUM(J11:J610)/SUM(G11:G610),0)</f>
        <v/>
      </c>
      <c r="J7" s="17" t="n"/>
      <c r="K7" s="17" t="n"/>
    </row>
    <row r="8" ht="16" customHeight="1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 ht="16" customHeight="1">
      <c r="A9" s="20" t="inlineStr">
        <is>
          <t xml:space="preserve">   ✏️ Captura manual (azul): Fecha · N° Ticket · SKU · Cantidad · Método de Pago.   ⚙️ Descripción, Precio, Total, COGS, Ganancia y Categoría se llenan solos con BUSCARV.</t>
        </is>
      </c>
    </row>
    <row r="10" ht="34" customHeight="1">
      <c r="A10" s="4" t="inlineStr">
        <is>
          <t>Fecha</t>
        </is>
      </c>
      <c r="B10" s="4" t="inlineStr">
        <is>
          <t>N° Ticket/Comprobante</t>
        </is>
      </c>
      <c r="C10" s="4" t="inlineStr">
        <is>
          <t>Código/SKU</t>
        </is>
      </c>
      <c r="D10" s="4" t="inlineStr">
        <is>
          <t>Descripción</t>
        </is>
      </c>
      <c r="E10" s="4" t="inlineStr">
        <is>
          <t>Cantidad Vendida</t>
        </is>
      </c>
      <c r="F10" s="4" t="inlineStr">
        <is>
          <t>Precio Venta Unitario</t>
        </is>
      </c>
      <c r="G10" s="4" t="inlineStr">
        <is>
          <t>Total Cobrado</t>
        </is>
      </c>
      <c r="H10" s="4" t="inlineStr">
        <is>
          <t>Método de Pago</t>
        </is>
      </c>
      <c r="I10" s="4" t="inlineStr">
        <is>
          <t>Costo de lo Vendido</t>
        </is>
      </c>
      <c r="J10" s="4" t="inlineStr">
        <is>
          <t>Ganancia Bruta</t>
        </is>
      </c>
      <c r="K10" s="4" t="inlineStr">
        <is>
          <t>Categoría (aux.)</t>
        </is>
      </c>
    </row>
    <row r="11">
      <c r="A11" s="21" t="n">
        <v>46239</v>
      </c>
      <c r="B11" s="22" t="inlineStr">
        <is>
          <t>T-0001</t>
        </is>
      </c>
      <c r="C11" s="22" t="inlineStr">
        <is>
          <t>CUA-010</t>
        </is>
      </c>
      <c r="D11" s="35">
        <f>IF($C11="","",IFERROR(VLOOKUP($C11,'2_Control_de_Stock'!$A$11:$N$210,2,0),"⚠️ SKU no existe"))</f>
        <v/>
      </c>
      <c r="E11" s="24" t="n">
        <v>12</v>
      </c>
      <c r="F11" s="33">
        <f>IF($C11="","",IFERROR(VLOOKUP($C11,'2_Control_de_Stock'!$A$11:$N$210,11,0),0))</f>
        <v/>
      </c>
      <c r="G11" s="26">
        <f>IF(OR($C11="",$E11=""),"",$E11*$F11)</f>
        <v/>
      </c>
      <c r="H11" s="22" t="inlineStr">
        <is>
          <t>Efectivo</t>
        </is>
      </c>
      <c r="I11" s="33">
        <f>IF($C11="","",IFERROR($E11*VLOOKUP($C11,'2_Control_de_Stock'!$A$11:$N$210,10,0),0))</f>
        <v/>
      </c>
      <c r="J11" s="36">
        <f>IF($G11="","",$G11-$I11)</f>
        <v/>
      </c>
      <c r="K11" s="37">
        <f>IF($C11="","",IFERROR(VLOOKUP($C11,'2_Control_de_Stock'!$A$11:$N$210,3,0),""))</f>
        <v/>
      </c>
    </row>
    <row r="12">
      <c r="A12" s="21" t="n">
        <v>46239</v>
      </c>
      <c r="B12" s="22" t="inlineStr">
        <is>
          <t>T-0002</t>
        </is>
      </c>
      <c r="C12" s="22" t="inlineStr">
        <is>
          <t>KAW-101</t>
        </is>
      </c>
      <c r="D12" s="35">
        <f>IF($C12="","",IFERROR(VLOOKUP($C12,'2_Control_de_Stock'!$A$11:$N$210,2,0),"⚠️ SKU no existe"))</f>
        <v/>
      </c>
      <c r="E12" s="24" t="n">
        <v>8</v>
      </c>
      <c r="F12" s="33">
        <f>IF($C12="","",IFERROR(VLOOKUP($C12,'2_Control_de_Stock'!$A$11:$N$210,11,0),0))</f>
        <v/>
      </c>
      <c r="G12" s="26">
        <f>IF(OR($C12="",$E12=""),"",$E12*$F12)</f>
        <v/>
      </c>
      <c r="H12" s="22" t="inlineStr">
        <is>
          <t>Yape/Plin</t>
        </is>
      </c>
      <c r="I12" s="33">
        <f>IF($C12="","",IFERROR($E12*VLOOKUP($C12,'2_Control_de_Stock'!$A$11:$N$210,10,0),0))</f>
        <v/>
      </c>
      <c r="J12" s="36">
        <f>IF($G12="","",$G12-$I12)</f>
        <v/>
      </c>
      <c r="K12" s="37">
        <f>IF($C12="","",IFERROR(VLOOKUP($C12,'2_Control_de_Stock'!$A$11:$N$210,3,0),""))</f>
        <v/>
      </c>
    </row>
    <row r="13">
      <c r="A13" s="21" t="n">
        <v>46240</v>
      </c>
      <c r="B13" s="22" t="inlineStr">
        <is>
          <t>T-0003</t>
        </is>
      </c>
      <c r="C13" s="22" t="inlineStr">
        <is>
          <t>ESC-401</t>
        </is>
      </c>
      <c r="D13" s="35">
        <f>IF($C13="","",IFERROR(VLOOKUP($C13,'2_Control_de_Stock'!$A$11:$N$210,2,0),"⚠️ SKU no existe"))</f>
        <v/>
      </c>
      <c r="E13" s="24" t="n">
        <v>5</v>
      </c>
      <c r="F13" s="33">
        <f>IF($C13="","",IFERROR(VLOOKUP($C13,'2_Control_de_Stock'!$A$11:$N$210,11,0),0))</f>
        <v/>
      </c>
      <c r="G13" s="26">
        <f>IF(OR($C13="",$E13=""),"",$E13*$F13)</f>
        <v/>
      </c>
      <c r="H13" s="22" t="inlineStr">
        <is>
          <t>Tarjeta</t>
        </is>
      </c>
      <c r="I13" s="33">
        <f>IF($C13="","",IFERROR($E13*VLOOKUP($C13,'2_Control_de_Stock'!$A$11:$N$210,10,0),0))</f>
        <v/>
      </c>
      <c r="J13" s="36">
        <f>IF($G13="","",$G13-$I13)</f>
        <v/>
      </c>
      <c r="K13" s="37">
        <f>IF($C13="","",IFERROR(VLOOKUP($C13,'2_Control_de_Stock'!$A$11:$N$210,3,0),""))</f>
        <v/>
      </c>
    </row>
    <row r="14">
      <c r="A14" s="21" t="n">
        <v>46240</v>
      </c>
      <c r="B14" s="22" t="inlineStr">
        <is>
          <t>T-0004</t>
        </is>
      </c>
      <c r="C14" s="22" t="inlineStr">
        <is>
          <t>PAP-001</t>
        </is>
      </c>
      <c r="D14" s="35">
        <f>IF($C14="","",IFERROR(VLOOKUP($C14,'2_Control_de_Stock'!$A$11:$N$210,2,0),"⚠️ SKU no existe"))</f>
        <v/>
      </c>
      <c r="E14" s="24" t="n">
        <v>3</v>
      </c>
      <c r="F14" s="33">
        <f>IF($C14="","",IFERROR(VLOOKUP($C14,'2_Control_de_Stock'!$A$11:$N$210,11,0),0))</f>
        <v/>
      </c>
      <c r="G14" s="26">
        <f>IF(OR($C14="",$E14=""),"",$E14*$F14)</f>
        <v/>
      </c>
      <c r="H14" s="22" t="inlineStr">
        <is>
          <t>Efectivo</t>
        </is>
      </c>
      <c r="I14" s="33">
        <f>IF($C14="","",IFERROR($E14*VLOOKUP($C14,'2_Control_de_Stock'!$A$11:$N$210,10,0),0))</f>
        <v/>
      </c>
      <c r="J14" s="36">
        <f>IF($G14="","",$G14-$I14)</f>
        <v/>
      </c>
      <c r="K14" s="37">
        <f>IF($C14="","",IFERROR(VLOOKUP($C14,'2_Control_de_Stock'!$A$11:$N$210,3,0),""))</f>
        <v/>
      </c>
    </row>
    <row r="15">
      <c r="A15" s="21" t="n">
        <v>46241</v>
      </c>
      <c r="B15" s="22" t="inlineStr">
        <is>
          <t>T-0005</t>
        </is>
      </c>
      <c r="C15" s="22" t="inlineStr">
        <is>
          <t>LIB-201</t>
        </is>
      </c>
      <c r="D15" s="35">
        <f>IF($C15="","",IFERROR(VLOOKUP($C15,'2_Control_de_Stock'!$A$11:$N$210,2,0),"⚠️ SKU no existe"))</f>
        <v/>
      </c>
      <c r="E15" s="24" t="n">
        <v>4</v>
      </c>
      <c r="F15" s="33">
        <f>IF($C15="","",IFERROR(VLOOKUP($C15,'2_Control_de_Stock'!$A$11:$N$210,11,0),0))</f>
        <v/>
      </c>
      <c r="G15" s="26">
        <f>IF(OR($C15="",$E15=""),"",$E15*$F15)</f>
        <v/>
      </c>
      <c r="H15" s="22" t="inlineStr">
        <is>
          <t>Transferencia</t>
        </is>
      </c>
      <c r="I15" s="33">
        <f>IF($C15="","",IFERROR($E15*VLOOKUP($C15,'2_Control_de_Stock'!$A$11:$N$210,10,0),0))</f>
        <v/>
      </c>
      <c r="J15" s="36">
        <f>IF($G15="","",$G15-$I15)</f>
        <v/>
      </c>
      <c r="K15" s="37">
        <f>IF($C15="","",IFERROR(VLOOKUP($C15,'2_Control_de_Stock'!$A$11:$N$210,3,0),""))</f>
        <v/>
      </c>
    </row>
    <row r="16">
      <c r="A16" s="21" t="n">
        <v>46242</v>
      </c>
      <c r="B16" s="22" t="inlineStr">
        <is>
          <t>T-0006</t>
        </is>
      </c>
      <c r="C16" s="22" t="inlineStr">
        <is>
          <t>KAW-102</t>
        </is>
      </c>
      <c r="D16" s="35">
        <f>IF($C16="","",IFERROR(VLOOKUP($C16,'2_Control_de_Stock'!$A$11:$N$210,2,0),"⚠️ SKU no existe"))</f>
        <v/>
      </c>
      <c r="E16" s="24" t="n">
        <v>10</v>
      </c>
      <c r="F16" s="33">
        <f>IF($C16="","",IFERROR(VLOOKUP($C16,'2_Control_de_Stock'!$A$11:$N$210,11,0),0))</f>
        <v/>
      </c>
      <c r="G16" s="26">
        <f>IF(OR($C16="",$E16=""),"",$E16*$F16)</f>
        <v/>
      </c>
      <c r="H16" s="22" t="inlineStr">
        <is>
          <t>Efectivo</t>
        </is>
      </c>
      <c r="I16" s="33">
        <f>IF($C16="","",IFERROR($E16*VLOOKUP($C16,'2_Control_de_Stock'!$A$11:$N$210,10,0),0))</f>
        <v/>
      </c>
      <c r="J16" s="36">
        <f>IF($G16="","",$G16-$I16)</f>
        <v/>
      </c>
      <c r="K16" s="37">
        <f>IF($C16="","",IFERROR(VLOOKUP($C16,'2_Control_de_Stock'!$A$11:$N$210,3,0),""))</f>
        <v/>
      </c>
    </row>
    <row r="17">
      <c r="A17" s="21" t="n">
        <v>46243</v>
      </c>
      <c r="B17" s="22" t="inlineStr">
        <is>
          <t>T-0007</t>
        </is>
      </c>
      <c r="C17" s="22" t="inlineStr">
        <is>
          <t>ART-301</t>
        </is>
      </c>
      <c r="D17" s="35">
        <f>IF($C17="","",IFERROR(VLOOKUP($C17,'2_Control_de_Stock'!$A$11:$N$210,2,0),"⚠️ SKU no existe"))</f>
        <v/>
      </c>
      <c r="E17" s="24" t="n">
        <v>6</v>
      </c>
      <c r="F17" s="33">
        <f>IF($C17="","",IFERROR(VLOOKUP($C17,'2_Control_de_Stock'!$A$11:$N$210,11,0),0))</f>
        <v/>
      </c>
      <c r="G17" s="26">
        <f>IF(OR($C17="",$E17=""),"",$E17*$F17)</f>
        <v/>
      </c>
      <c r="H17" s="22" t="inlineStr">
        <is>
          <t>Yape/Plin</t>
        </is>
      </c>
      <c r="I17" s="33">
        <f>IF($C17="","",IFERROR($E17*VLOOKUP($C17,'2_Control_de_Stock'!$A$11:$N$210,10,0),0))</f>
        <v/>
      </c>
      <c r="J17" s="36">
        <f>IF($G17="","",$G17-$I17)</f>
        <v/>
      </c>
      <c r="K17" s="37">
        <f>IF($C17="","",IFERROR(VLOOKUP($C17,'2_Control_de_Stock'!$A$11:$N$210,3,0),""))</f>
        <v/>
      </c>
    </row>
    <row r="18">
      <c r="A18" s="21" t="n">
        <v>46244</v>
      </c>
      <c r="B18" s="22" t="inlineStr">
        <is>
          <t>T-0008</t>
        </is>
      </c>
      <c r="C18" s="22" t="inlineStr">
        <is>
          <t>MOC-501</t>
        </is>
      </c>
      <c r="D18" s="35">
        <f>IF($C18="","",IFERROR(VLOOKUP($C18,'2_Control_de_Stock'!$A$11:$N$210,2,0),"⚠️ SKU no existe"))</f>
        <v/>
      </c>
      <c r="E18" s="24" t="n">
        <v>2</v>
      </c>
      <c r="F18" s="33">
        <f>IF($C18="","",IFERROR(VLOOKUP($C18,'2_Control_de_Stock'!$A$11:$N$210,11,0),0))</f>
        <v/>
      </c>
      <c r="G18" s="26">
        <f>IF(OR($C18="",$E18=""),"",$E18*$F18)</f>
        <v/>
      </c>
      <c r="H18" s="22" t="inlineStr">
        <is>
          <t>Tarjeta</t>
        </is>
      </c>
      <c r="I18" s="33">
        <f>IF($C18="","",IFERROR($E18*VLOOKUP($C18,'2_Control_de_Stock'!$A$11:$N$210,10,0),0))</f>
        <v/>
      </c>
      <c r="J18" s="36">
        <f>IF($G18="","",$G18-$I18)</f>
        <v/>
      </c>
      <c r="K18" s="37">
        <f>IF($C18="","",IFERROR(VLOOKUP($C18,'2_Control_de_Stock'!$A$11:$N$210,3,0),""))</f>
        <v/>
      </c>
    </row>
    <row r="19">
      <c r="A19" s="21" t="n">
        <v>46245</v>
      </c>
      <c r="B19" s="22" t="inlineStr">
        <is>
          <t>T-0009</t>
        </is>
      </c>
      <c r="C19" s="22" t="inlineStr">
        <is>
          <t>CUA-011</t>
        </is>
      </c>
      <c r="D19" s="35">
        <f>IF($C19="","",IFERROR(VLOOKUP($C19,'2_Control_de_Stock'!$A$11:$N$210,2,0),"⚠️ SKU no existe"))</f>
        <v/>
      </c>
      <c r="E19" s="24" t="n">
        <v>14</v>
      </c>
      <c r="F19" s="33">
        <f>IF($C19="","",IFERROR(VLOOKUP($C19,'2_Control_de_Stock'!$A$11:$N$210,11,0),0))</f>
        <v/>
      </c>
      <c r="G19" s="26">
        <f>IF(OR($C19="",$E19=""),"",$E19*$F19)</f>
        <v/>
      </c>
      <c r="H19" s="22" t="inlineStr">
        <is>
          <t>Efectivo</t>
        </is>
      </c>
      <c r="I19" s="33">
        <f>IF($C19="","",IFERROR($E19*VLOOKUP($C19,'2_Control_de_Stock'!$A$11:$N$210,10,0),0))</f>
        <v/>
      </c>
      <c r="J19" s="36">
        <f>IF($G19="","",$G19-$I19)</f>
        <v/>
      </c>
      <c r="K19" s="37">
        <f>IF($C19="","",IFERROR(VLOOKUP($C19,'2_Control_de_Stock'!$A$11:$N$210,3,0),""))</f>
        <v/>
      </c>
    </row>
    <row r="20">
      <c r="A20" s="21" t="n">
        <v>46246</v>
      </c>
      <c r="B20" s="22" t="inlineStr">
        <is>
          <t>T-0010</t>
        </is>
      </c>
      <c r="C20" s="22" t="inlineStr">
        <is>
          <t>ESC-402</t>
        </is>
      </c>
      <c r="D20" s="35">
        <f>IF($C20="","",IFERROR(VLOOKUP($C20,'2_Control_de_Stock'!$A$11:$N$210,2,0),"⚠️ SKU no existe"))</f>
        <v/>
      </c>
      <c r="E20" s="24" t="n">
        <v>18</v>
      </c>
      <c r="F20" s="33">
        <f>IF($C20="","",IFERROR(VLOOKUP($C20,'2_Control_de_Stock'!$A$11:$N$210,11,0),0))</f>
        <v/>
      </c>
      <c r="G20" s="26">
        <f>IF(OR($C20="",$E20=""),"",$E20*$F20)</f>
        <v/>
      </c>
      <c r="H20" s="22" t="inlineStr">
        <is>
          <t>Efectivo</t>
        </is>
      </c>
      <c r="I20" s="33">
        <f>IF($C20="","",IFERROR($E20*VLOOKUP($C20,'2_Control_de_Stock'!$A$11:$N$210,10,0),0))</f>
        <v/>
      </c>
      <c r="J20" s="36">
        <f>IF($G20="","",$G20-$I20)</f>
        <v/>
      </c>
      <c r="K20" s="37">
        <f>IF($C20="","",IFERROR(VLOOKUP($C20,'2_Control_de_Stock'!$A$11:$N$210,3,0),""))</f>
        <v/>
      </c>
    </row>
    <row r="21">
      <c r="A21" s="21" t="n">
        <v>46247</v>
      </c>
      <c r="B21" s="22" t="inlineStr">
        <is>
          <t>T-0011</t>
        </is>
      </c>
      <c r="C21" s="22" t="inlineStr">
        <is>
          <t>KAW-103</t>
        </is>
      </c>
      <c r="D21" s="35">
        <f>IF($C21="","",IFERROR(VLOOKUP($C21,'2_Control_de_Stock'!$A$11:$N$210,2,0),"⚠️ SKU no existe"))</f>
        <v/>
      </c>
      <c r="E21" s="24" t="n">
        <v>7</v>
      </c>
      <c r="F21" s="33">
        <f>IF($C21="","",IFERROR(VLOOKUP($C21,'2_Control_de_Stock'!$A$11:$N$210,11,0),0))</f>
        <v/>
      </c>
      <c r="G21" s="26">
        <f>IF(OR($C21="",$E21=""),"",$E21*$F21)</f>
        <v/>
      </c>
      <c r="H21" s="22" t="inlineStr">
        <is>
          <t>Yape/Plin</t>
        </is>
      </c>
      <c r="I21" s="33">
        <f>IF($C21="","",IFERROR($E21*VLOOKUP($C21,'2_Control_de_Stock'!$A$11:$N$210,10,0),0))</f>
        <v/>
      </c>
      <c r="J21" s="36">
        <f>IF($G21="","",$G21-$I21)</f>
        <v/>
      </c>
      <c r="K21" s="37">
        <f>IF($C21="","",IFERROR(VLOOKUP($C21,'2_Control_de_Stock'!$A$11:$N$210,3,0),""))</f>
        <v/>
      </c>
    </row>
    <row r="22">
      <c r="A22" s="21" t="n">
        <v>46248</v>
      </c>
      <c r="B22" s="22" t="inlineStr">
        <is>
          <t>T-0012</t>
        </is>
      </c>
      <c r="C22" s="22" t="inlineStr">
        <is>
          <t>LIB-202</t>
        </is>
      </c>
      <c r="D22" s="35">
        <f>IF($C22="","",IFERROR(VLOOKUP($C22,'2_Control_de_Stock'!$A$11:$N$210,2,0),"⚠️ SKU no existe"))</f>
        <v/>
      </c>
      <c r="E22" s="24" t="n">
        <v>3</v>
      </c>
      <c r="F22" s="33">
        <f>IF($C22="","",IFERROR(VLOOKUP($C22,'2_Control_de_Stock'!$A$11:$N$210,11,0),0))</f>
        <v/>
      </c>
      <c r="G22" s="26">
        <f>IF(OR($C22="",$E22=""),"",$E22*$F22)</f>
        <v/>
      </c>
      <c r="H22" s="22" t="inlineStr">
        <is>
          <t>Tarjeta</t>
        </is>
      </c>
      <c r="I22" s="33">
        <f>IF($C22="","",IFERROR($E22*VLOOKUP($C22,'2_Control_de_Stock'!$A$11:$N$210,10,0),0))</f>
        <v/>
      </c>
      <c r="J22" s="36">
        <f>IF($G22="","",$G22-$I22)</f>
        <v/>
      </c>
      <c r="K22" s="37">
        <f>IF($C22="","",IFERROR(VLOOKUP($C22,'2_Control_de_Stock'!$A$11:$N$210,3,0),""))</f>
        <v/>
      </c>
    </row>
    <row r="23">
      <c r="A23" s="21" t="n">
        <v>46249</v>
      </c>
      <c r="B23" s="22" t="inlineStr">
        <is>
          <t>T-0013</t>
        </is>
      </c>
      <c r="C23" s="22" t="inlineStr">
        <is>
          <t>PAP-002</t>
        </is>
      </c>
      <c r="D23" s="35">
        <f>IF($C23="","",IFERROR(VLOOKUP($C23,'2_Control_de_Stock'!$A$11:$N$210,2,0),"⚠️ SKU no existe"))</f>
        <v/>
      </c>
      <c r="E23" s="24" t="n">
        <v>40</v>
      </c>
      <c r="F23" s="33">
        <f>IF($C23="","",IFERROR(VLOOKUP($C23,'2_Control_de_Stock'!$A$11:$N$210,11,0),0))</f>
        <v/>
      </c>
      <c r="G23" s="26">
        <f>IF(OR($C23="",$E23=""),"",$E23*$F23)</f>
        <v/>
      </c>
      <c r="H23" s="22" t="inlineStr">
        <is>
          <t>Efectivo</t>
        </is>
      </c>
      <c r="I23" s="33">
        <f>IF($C23="","",IFERROR($E23*VLOOKUP($C23,'2_Control_de_Stock'!$A$11:$N$210,10,0),0))</f>
        <v/>
      </c>
      <c r="J23" s="36">
        <f>IF($G23="","",$G23-$I23)</f>
        <v/>
      </c>
      <c r="K23" s="37">
        <f>IF($C23="","",IFERROR(VLOOKUP($C23,'2_Control_de_Stock'!$A$11:$N$210,3,0),""))</f>
        <v/>
      </c>
    </row>
    <row r="24">
      <c r="A24" s="21" t="n">
        <v>46250</v>
      </c>
      <c r="B24" s="22" t="inlineStr">
        <is>
          <t>T-0014</t>
        </is>
      </c>
      <c r="C24" s="22" t="inlineStr">
        <is>
          <t>ART-302</t>
        </is>
      </c>
      <c r="D24" s="35">
        <f>IF($C24="","",IFERROR(VLOOKUP($C24,'2_Control_de_Stock'!$A$11:$N$210,2,0),"⚠️ SKU no existe"))</f>
        <v/>
      </c>
      <c r="E24" s="24" t="n">
        <v>9</v>
      </c>
      <c r="F24" s="33">
        <f>IF($C24="","",IFERROR(VLOOKUP($C24,'2_Control_de_Stock'!$A$11:$N$210,11,0),0))</f>
        <v/>
      </c>
      <c r="G24" s="26">
        <f>IF(OR($C24="",$E24=""),"",$E24*$F24)</f>
        <v/>
      </c>
      <c r="H24" s="22" t="inlineStr">
        <is>
          <t>Transferencia</t>
        </is>
      </c>
      <c r="I24" s="33">
        <f>IF($C24="","",IFERROR($E24*VLOOKUP($C24,'2_Control_de_Stock'!$A$11:$N$210,10,0),0))</f>
        <v/>
      </c>
      <c r="J24" s="36">
        <f>IF($G24="","",$G24-$I24)</f>
        <v/>
      </c>
      <c r="K24" s="37">
        <f>IF($C24="","",IFERROR(VLOOKUP($C24,'2_Control_de_Stock'!$A$11:$N$210,3,0),""))</f>
        <v/>
      </c>
    </row>
    <row r="25">
      <c r="A25" s="21" t="n">
        <v>46251</v>
      </c>
      <c r="B25" s="22" t="inlineStr">
        <is>
          <t>T-0015</t>
        </is>
      </c>
      <c r="C25" s="22" t="inlineStr">
        <is>
          <t>OFI-601</t>
        </is>
      </c>
      <c r="D25" s="35">
        <f>IF($C25="","",IFERROR(VLOOKUP($C25,'2_Control_de_Stock'!$A$11:$N$210,2,0),"⚠️ SKU no existe"))</f>
        <v/>
      </c>
      <c r="E25" s="24" t="n">
        <v>5</v>
      </c>
      <c r="F25" s="33">
        <f>IF($C25="","",IFERROR(VLOOKUP($C25,'2_Control_de_Stock'!$A$11:$N$210,11,0),0))</f>
        <v/>
      </c>
      <c r="G25" s="26">
        <f>IF(OR($C25="",$E25=""),"",$E25*$F25)</f>
        <v/>
      </c>
      <c r="H25" s="22" t="inlineStr">
        <is>
          <t>Tarjeta</t>
        </is>
      </c>
      <c r="I25" s="33">
        <f>IF($C25="","",IFERROR($E25*VLOOKUP($C25,'2_Control_de_Stock'!$A$11:$N$210,10,0),0))</f>
        <v/>
      </c>
      <c r="J25" s="36">
        <f>IF($G25="","",$G25-$I25)</f>
        <v/>
      </c>
      <c r="K25" s="37">
        <f>IF($C25="","",IFERROR(VLOOKUP($C25,'2_Control_de_Stock'!$A$11:$N$210,3,0),""))</f>
        <v/>
      </c>
    </row>
    <row r="26">
      <c r="A26" s="21" t="n">
        <v>46252</v>
      </c>
      <c r="B26" s="22" t="inlineStr">
        <is>
          <t>T-0016</t>
        </is>
      </c>
      <c r="C26" s="22" t="inlineStr">
        <is>
          <t>KAW-101</t>
        </is>
      </c>
      <c r="D26" s="35">
        <f>IF($C26="","",IFERROR(VLOOKUP($C26,'2_Control_de_Stock'!$A$11:$N$210,2,0),"⚠️ SKU no existe"))</f>
        <v/>
      </c>
      <c r="E26" s="24" t="n">
        <v>15</v>
      </c>
      <c r="F26" s="33">
        <f>IF($C26="","",IFERROR(VLOOKUP($C26,'2_Control_de_Stock'!$A$11:$N$210,11,0),0))</f>
        <v/>
      </c>
      <c r="G26" s="26">
        <f>IF(OR($C26="",$E26=""),"",$E26*$F26)</f>
        <v/>
      </c>
      <c r="H26" s="22" t="inlineStr">
        <is>
          <t>Efectivo</t>
        </is>
      </c>
      <c r="I26" s="33">
        <f>IF($C26="","",IFERROR($E26*VLOOKUP($C26,'2_Control_de_Stock'!$A$11:$N$210,10,0),0))</f>
        <v/>
      </c>
      <c r="J26" s="36">
        <f>IF($G26="","",$G26-$I26)</f>
        <v/>
      </c>
      <c r="K26" s="37">
        <f>IF($C26="","",IFERROR(VLOOKUP($C26,'2_Control_de_Stock'!$A$11:$N$210,3,0),""))</f>
        <v/>
      </c>
    </row>
    <row r="27">
      <c r="A27" s="21" t="n">
        <v>46253</v>
      </c>
      <c r="B27" s="22" t="inlineStr">
        <is>
          <t>T-0017</t>
        </is>
      </c>
      <c r="C27" s="22" t="inlineStr">
        <is>
          <t>ESC-403</t>
        </is>
      </c>
      <c r="D27" s="35">
        <f>IF($C27="","",IFERROR(VLOOKUP($C27,'2_Control_de_Stock'!$A$11:$N$210,2,0),"⚠️ SKU no existe"))</f>
        <v/>
      </c>
      <c r="E27" s="24" t="n">
        <v>11</v>
      </c>
      <c r="F27" s="33">
        <f>IF($C27="","",IFERROR(VLOOKUP($C27,'2_Control_de_Stock'!$A$11:$N$210,11,0),0))</f>
        <v/>
      </c>
      <c r="G27" s="26">
        <f>IF(OR($C27="",$E27=""),"",$E27*$F27)</f>
        <v/>
      </c>
      <c r="H27" s="22" t="inlineStr">
        <is>
          <t>Yape/Plin</t>
        </is>
      </c>
      <c r="I27" s="33">
        <f>IF($C27="","",IFERROR($E27*VLOOKUP($C27,'2_Control_de_Stock'!$A$11:$N$210,10,0),0))</f>
        <v/>
      </c>
      <c r="J27" s="36">
        <f>IF($G27="","",$G27-$I27)</f>
        <v/>
      </c>
      <c r="K27" s="37">
        <f>IF($C27="","",IFERROR(VLOOKUP($C27,'2_Control_de_Stock'!$A$11:$N$210,3,0),""))</f>
        <v/>
      </c>
    </row>
    <row r="28">
      <c r="A28" s="21" t="n">
        <v>46254</v>
      </c>
      <c r="B28" s="22" t="inlineStr">
        <is>
          <t>T-0018</t>
        </is>
      </c>
      <c r="C28" s="22" t="inlineStr">
        <is>
          <t>MAN-701</t>
        </is>
      </c>
      <c r="D28" s="35">
        <f>IF($C28="","",IFERROR(VLOOKUP($C28,'2_Control_de_Stock'!$A$11:$N$210,2,0),"⚠️ SKU no existe"))</f>
        <v/>
      </c>
      <c r="E28" s="24" t="n">
        <v>8</v>
      </c>
      <c r="F28" s="33">
        <f>IF($C28="","",IFERROR(VLOOKUP($C28,'2_Control_de_Stock'!$A$11:$N$210,11,0),0))</f>
        <v/>
      </c>
      <c r="G28" s="26">
        <f>IF(OR($C28="",$E28=""),"",$E28*$F28)</f>
        <v/>
      </c>
      <c r="H28" s="22" t="inlineStr">
        <is>
          <t>Efectivo</t>
        </is>
      </c>
      <c r="I28" s="33">
        <f>IF($C28="","",IFERROR($E28*VLOOKUP($C28,'2_Control_de_Stock'!$A$11:$N$210,10,0),0))</f>
        <v/>
      </c>
      <c r="J28" s="36">
        <f>IF($G28="","",$G28-$I28)</f>
        <v/>
      </c>
      <c r="K28" s="37">
        <f>IF($C28="","",IFERROR(VLOOKUP($C28,'2_Control_de_Stock'!$A$11:$N$210,3,0),""))</f>
        <v/>
      </c>
    </row>
    <row r="29">
      <c r="A29" s="21" t="n">
        <v>46255</v>
      </c>
      <c r="B29" s="22" t="inlineStr">
        <is>
          <t>T-0019</t>
        </is>
      </c>
      <c r="C29" s="22" t="inlineStr">
        <is>
          <t>TEC-801</t>
        </is>
      </c>
      <c r="D29" s="35">
        <f>IF($C29="","",IFERROR(VLOOKUP($C29,'2_Control_de_Stock'!$A$11:$N$210,2,0),"⚠️ SKU no existe"))</f>
        <v/>
      </c>
      <c r="E29" s="24" t="n">
        <v>2</v>
      </c>
      <c r="F29" s="33">
        <f>IF($C29="","",IFERROR(VLOOKUP($C29,'2_Control_de_Stock'!$A$11:$N$210,11,0),0))</f>
        <v/>
      </c>
      <c r="G29" s="26">
        <f>IF(OR($C29="",$E29=""),"",$E29*$F29)</f>
        <v/>
      </c>
      <c r="H29" s="22" t="inlineStr">
        <is>
          <t>Tarjeta</t>
        </is>
      </c>
      <c r="I29" s="33">
        <f>IF($C29="","",IFERROR($E29*VLOOKUP($C29,'2_Control_de_Stock'!$A$11:$N$210,10,0),0))</f>
        <v/>
      </c>
      <c r="J29" s="36">
        <f>IF($G29="","",$G29-$I29)</f>
        <v/>
      </c>
      <c r="K29" s="37">
        <f>IF($C29="","",IFERROR(VLOOKUP($C29,'2_Control_de_Stock'!$A$11:$N$210,3,0),""))</f>
        <v/>
      </c>
    </row>
    <row r="30">
      <c r="A30" s="21" t="n">
        <v>46256</v>
      </c>
      <c r="B30" s="22" t="inlineStr">
        <is>
          <t>T-0020</t>
        </is>
      </c>
      <c r="C30" s="22" t="inlineStr">
        <is>
          <t>MOC-502</t>
        </is>
      </c>
      <c r="D30" s="35">
        <f>IF($C30="","",IFERROR(VLOOKUP($C30,'2_Control_de_Stock'!$A$11:$N$210,2,0),"⚠️ SKU no existe"))</f>
        <v/>
      </c>
      <c r="E30" s="24" t="n">
        <v>4</v>
      </c>
      <c r="F30" s="33">
        <f>IF($C30="","",IFERROR(VLOOKUP($C30,'2_Control_de_Stock'!$A$11:$N$210,11,0),0))</f>
        <v/>
      </c>
      <c r="G30" s="26">
        <f>IF(OR($C30="",$E30=""),"",$E30*$F30)</f>
        <v/>
      </c>
      <c r="H30" s="22" t="inlineStr">
        <is>
          <t>Transferencia</t>
        </is>
      </c>
      <c r="I30" s="33">
        <f>IF($C30="","",IFERROR($E30*VLOOKUP($C30,'2_Control_de_Stock'!$A$11:$N$210,10,0),0))</f>
        <v/>
      </c>
      <c r="J30" s="36">
        <f>IF($G30="","",$G30-$I30)</f>
        <v/>
      </c>
      <c r="K30" s="37">
        <f>IF($C30="","",IFERROR(VLOOKUP($C30,'2_Control_de_Stock'!$A$11:$N$210,3,0),""))</f>
        <v/>
      </c>
    </row>
    <row r="31">
      <c r="A31" s="21" t="n">
        <v>46257</v>
      </c>
      <c r="B31" s="22" t="inlineStr">
        <is>
          <t>T-0021</t>
        </is>
      </c>
      <c r="C31" s="22" t="inlineStr">
        <is>
          <t>CUA-010</t>
        </is>
      </c>
      <c r="D31" s="35">
        <f>IF($C31="","",IFERROR(VLOOKUP($C31,'2_Control_de_Stock'!$A$11:$N$210,2,0),"⚠️ SKU no existe"))</f>
        <v/>
      </c>
      <c r="E31" s="24" t="n">
        <v>20</v>
      </c>
      <c r="F31" s="33">
        <f>IF($C31="","",IFERROR(VLOOKUP($C31,'2_Control_de_Stock'!$A$11:$N$210,11,0),0))</f>
        <v/>
      </c>
      <c r="G31" s="26">
        <f>IF(OR($C31="",$E31=""),"",$E31*$F31)</f>
        <v/>
      </c>
      <c r="H31" s="22" t="inlineStr">
        <is>
          <t>Efectivo</t>
        </is>
      </c>
      <c r="I31" s="33">
        <f>IF($C31="","",IFERROR($E31*VLOOKUP($C31,'2_Control_de_Stock'!$A$11:$N$210,10,0),0))</f>
        <v/>
      </c>
      <c r="J31" s="36">
        <f>IF($G31="","",$G31-$I31)</f>
        <v/>
      </c>
      <c r="K31" s="37">
        <f>IF($C31="","",IFERROR(VLOOKUP($C31,'2_Control_de_Stock'!$A$11:$N$210,3,0),""))</f>
        <v/>
      </c>
    </row>
    <row r="32">
      <c r="A32" s="21" t="n">
        <v>46258</v>
      </c>
      <c r="B32" s="22" t="inlineStr">
        <is>
          <t>T-0022</t>
        </is>
      </c>
      <c r="C32" s="22" t="inlineStr">
        <is>
          <t>KAW-102</t>
        </is>
      </c>
      <c r="D32" s="35">
        <f>IF($C32="","",IFERROR(VLOOKUP($C32,'2_Control_de_Stock'!$A$11:$N$210,2,0),"⚠️ SKU no existe"))</f>
        <v/>
      </c>
      <c r="E32" s="24" t="n">
        <v>12</v>
      </c>
      <c r="F32" s="33">
        <f>IF($C32="","",IFERROR(VLOOKUP($C32,'2_Control_de_Stock'!$A$11:$N$210,11,0),0))</f>
        <v/>
      </c>
      <c r="G32" s="26">
        <f>IF(OR($C32="",$E32=""),"",$E32*$F32)</f>
        <v/>
      </c>
      <c r="H32" s="22" t="inlineStr">
        <is>
          <t>Yape/Plin</t>
        </is>
      </c>
      <c r="I32" s="33">
        <f>IF($C32="","",IFERROR($E32*VLOOKUP($C32,'2_Control_de_Stock'!$A$11:$N$210,10,0),0))</f>
        <v/>
      </c>
      <c r="J32" s="36">
        <f>IF($G32="","",$G32-$I32)</f>
        <v/>
      </c>
      <c r="K32" s="37">
        <f>IF($C32="","",IFERROR(VLOOKUP($C32,'2_Control_de_Stock'!$A$11:$N$210,3,0),""))</f>
        <v/>
      </c>
    </row>
    <row r="33">
      <c r="A33" s="21" t="n">
        <v>46259</v>
      </c>
      <c r="B33" s="22" t="inlineStr">
        <is>
          <t>T-0023</t>
        </is>
      </c>
      <c r="C33" s="22" t="inlineStr">
        <is>
          <t>LIB-203</t>
        </is>
      </c>
      <c r="D33" s="35">
        <f>IF($C33="","",IFERROR(VLOOKUP($C33,'2_Control_de_Stock'!$A$11:$N$210,2,0),"⚠️ SKU no existe"))</f>
        <v/>
      </c>
      <c r="E33" s="24" t="n">
        <v>6</v>
      </c>
      <c r="F33" s="33">
        <f>IF($C33="","",IFERROR(VLOOKUP($C33,'2_Control_de_Stock'!$A$11:$N$210,11,0),0))</f>
        <v/>
      </c>
      <c r="G33" s="26">
        <f>IF(OR($C33="",$E33=""),"",$E33*$F33)</f>
        <v/>
      </c>
      <c r="H33" s="22" t="inlineStr">
        <is>
          <t>Tarjeta</t>
        </is>
      </c>
      <c r="I33" s="33">
        <f>IF($C33="","",IFERROR($E33*VLOOKUP($C33,'2_Control_de_Stock'!$A$11:$N$210,10,0),0))</f>
        <v/>
      </c>
      <c r="J33" s="36">
        <f>IF($G33="","",$G33-$I33)</f>
        <v/>
      </c>
      <c r="K33" s="37">
        <f>IF($C33="","",IFERROR(VLOOKUP($C33,'2_Control_de_Stock'!$A$11:$N$210,3,0),""))</f>
        <v/>
      </c>
    </row>
    <row r="34">
      <c r="A34" s="21" t="n">
        <v>46260</v>
      </c>
      <c r="B34" s="22" t="inlineStr">
        <is>
          <t>T-0024</t>
        </is>
      </c>
      <c r="C34" s="22" t="inlineStr">
        <is>
          <t>ESC-401</t>
        </is>
      </c>
      <c r="D34" s="35">
        <f>IF($C34="","",IFERROR(VLOOKUP($C34,'2_Control_de_Stock'!$A$11:$N$210,2,0),"⚠️ SKU no existe"))</f>
        <v/>
      </c>
      <c r="E34" s="24" t="n">
        <v>9</v>
      </c>
      <c r="F34" s="33">
        <f>IF($C34="","",IFERROR(VLOOKUP($C34,'2_Control_de_Stock'!$A$11:$N$210,11,0),0))</f>
        <v/>
      </c>
      <c r="G34" s="26">
        <f>IF(OR($C34="",$E34=""),"",$E34*$F34)</f>
        <v/>
      </c>
      <c r="H34" s="22" t="inlineStr">
        <is>
          <t>Efectivo</t>
        </is>
      </c>
      <c r="I34" s="33">
        <f>IF($C34="","",IFERROR($E34*VLOOKUP($C34,'2_Control_de_Stock'!$A$11:$N$210,10,0),0))</f>
        <v/>
      </c>
      <c r="J34" s="36">
        <f>IF($G34="","",$G34-$I34)</f>
        <v/>
      </c>
      <c r="K34" s="37">
        <f>IF($C34="","",IFERROR(VLOOKUP($C34,'2_Control_de_Stock'!$A$11:$N$210,3,0),""))</f>
        <v/>
      </c>
    </row>
    <row r="35">
      <c r="A35" s="21" t="n">
        <v>46261</v>
      </c>
      <c r="B35" s="22" t="inlineStr">
        <is>
          <t>T-0025</t>
        </is>
      </c>
      <c r="C35" s="22" t="inlineStr">
        <is>
          <t>ART-301</t>
        </is>
      </c>
      <c r="D35" s="35">
        <f>IF($C35="","",IFERROR(VLOOKUP($C35,'2_Control_de_Stock'!$A$11:$N$210,2,0),"⚠️ SKU no existe"))</f>
        <v/>
      </c>
      <c r="E35" s="24" t="n">
        <v>7</v>
      </c>
      <c r="F35" s="33">
        <f>IF($C35="","",IFERROR(VLOOKUP($C35,'2_Control_de_Stock'!$A$11:$N$210,11,0),0))</f>
        <v/>
      </c>
      <c r="G35" s="26">
        <f>IF(OR($C35="",$E35=""),"",$E35*$F35)</f>
        <v/>
      </c>
      <c r="H35" s="22" t="inlineStr">
        <is>
          <t>Efectivo</t>
        </is>
      </c>
      <c r="I35" s="33">
        <f>IF($C35="","",IFERROR($E35*VLOOKUP($C35,'2_Control_de_Stock'!$A$11:$N$210,10,0),0))</f>
        <v/>
      </c>
      <c r="J35" s="36">
        <f>IF($G35="","",$G35-$I35)</f>
        <v/>
      </c>
      <c r="K35" s="37">
        <f>IF($C35="","",IFERROR(VLOOKUP($C35,'2_Control_de_Stock'!$A$11:$N$210,3,0),""))</f>
        <v/>
      </c>
    </row>
    <row r="36">
      <c r="A36" s="21" t="n">
        <v>46262</v>
      </c>
      <c r="B36" s="22" t="inlineStr">
        <is>
          <t>T-0026</t>
        </is>
      </c>
      <c r="C36" s="22" t="inlineStr">
        <is>
          <t>PAP-001</t>
        </is>
      </c>
      <c r="D36" s="35">
        <f>IF($C36="","",IFERROR(VLOOKUP($C36,'2_Control_de_Stock'!$A$11:$N$210,2,0),"⚠️ SKU no existe"))</f>
        <v/>
      </c>
      <c r="E36" s="24" t="n">
        <v>4</v>
      </c>
      <c r="F36" s="33">
        <f>IF($C36="","",IFERROR(VLOOKUP($C36,'2_Control_de_Stock'!$A$11:$N$210,11,0),0))</f>
        <v/>
      </c>
      <c r="G36" s="26">
        <f>IF(OR($C36="",$E36=""),"",$E36*$F36)</f>
        <v/>
      </c>
      <c r="H36" s="22" t="inlineStr">
        <is>
          <t>Transferencia</t>
        </is>
      </c>
      <c r="I36" s="33">
        <f>IF($C36="","",IFERROR($E36*VLOOKUP($C36,'2_Control_de_Stock'!$A$11:$N$210,10,0),0))</f>
        <v/>
      </c>
      <c r="J36" s="36">
        <f>IF($G36="","",$G36-$I36)</f>
        <v/>
      </c>
      <c r="K36" s="37">
        <f>IF($C36="","",IFERROR(VLOOKUP($C36,'2_Control_de_Stock'!$A$11:$N$210,3,0),""))</f>
        <v/>
      </c>
    </row>
    <row r="37">
      <c r="A37" s="21" t="n">
        <v>46263</v>
      </c>
      <c r="B37" s="22" t="inlineStr">
        <is>
          <t>T-0027</t>
        </is>
      </c>
      <c r="C37" s="22" t="inlineStr">
        <is>
          <t>KAW-103</t>
        </is>
      </c>
      <c r="D37" s="35">
        <f>IF($C37="","",IFERROR(VLOOKUP($C37,'2_Control_de_Stock'!$A$11:$N$210,2,0),"⚠️ SKU no existe"))</f>
        <v/>
      </c>
      <c r="E37" s="24" t="n">
        <v>6</v>
      </c>
      <c r="F37" s="33">
        <f>IF($C37="","",IFERROR(VLOOKUP($C37,'2_Control_de_Stock'!$A$11:$N$210,11,0),0))</f>
        <v/>
      </c>
      <c r="G37" s="26">
        <f>IF(OR($C37="",$E37=""),"",$E37*$F37)</f>
        <v/>
      </c>
      <c r="H37" s="22" t="inlineStr">
        <is>
          <t>Yape/Plin</t>
        </is>
      </c>
      <c r="I37" s="33">
        <f>IF($C37="","",IFERROR($E37*VLOOKUP($C37,'2_Control_de_Stock'!$A$11:$N$210,10,0),0))</f>
        <v/>
      </c>
      <c r="J37" s="36">
        <f>IF($G37="","",$G37-$I37)</f>
        <v/>
      </c>
      <c r="K37" s="37">
        <f>IF($C37="","",IFERROR(VLOOKUP($C37,'2_Control_de_Stock'!$A$11:$N$210,3,0),""))</f>
        <v/>
      </c>
    </row>
    <row r="38">
      <c r="A38" s="21" t="n">
        <v>46264</v>
      </c>
      <c r="B38" s="22" t="inlineStr">
        <is>
          <t>T-0028</t>
        </is>
      </c>
      <c r="C38" s="22" t="inlineStr">
        <is>
          <t>CUA-011</t>
        </is>
      </c>
      <c r="D38" s="35">
        <f>IF($C38="","",IFERROR(VLOOKUP($C38,'2_Control_de_Stock'!$A$11:$N$210,2,0),"⚠️ SKU no existe"))</f>
        <v/>
      </c>
      <c r="E38" s="24" t="n">
        <v>16</v>
      </c>
      <c r="F38" s="33">
        <f>IF($C38="","",IFERROR(VLOOKUP($C38,'2_Control_de_Stock'!$A$11:$N$210,11,0),0))</f>
        <v/>
      </c>
      <c r="G38" s="26">
        <f>IF(OR($C38="",$E38=""),"",$E38*$F38)</f>
        <v/>
      </c>
      <c r="H38" s="22" t="inlineStr">
        <is>
          <t>Efectivo</t>
        </is>
      </c>
      <c r="I38" s="33">
        <f>IF($C38="","",IFERROR($E38*VLOOKUP($C38,'2_Control_de_Stock'!$A$11:$N$210,10,0),0))</f>
        <v/>
      </c>
      <c r="J38" s="36">
        <f>IF($G38="","",$G38-$I38)</f>
        <v/>
      </c>
      <c r="K38" s="37">
        <f>IF($C38="","",IFERROR(VLOOKUP($C38,'2_Control_de_Stock'!$A$11:$N$210,3,0),""))</f>
        <v/>
      </c>
    </row>
    <row r="39">
      <c r="A39" s="21" t="n">
        <v>46265</v>
      </c>
      <c r="B39" s="22" t="inlineStr">
        <is>
          <t>T-0029</t>
        </is>
      </c>
      <c r="C39" s="22" t="inlineStr">
        <is>
          <t>MOC-501</t>
        </is>
      </c>
      <c r="D39" s="35">
        <f>IF($C39="","",IFERROR(VLOOKUP($C39,'2_Control_de_Stock'!$A$11:$N$210,2,0),"⚠️ SKU no existe"))</f>
        <v/>
      </c>
      <c r="E39" s="24" t="n">
        <v>3</v>
      </c>
      <c r="F39" s="33">
        <f>IF($C39="","",IFERROR(VLOOKUP($C39,'2_Control_de_Stock'!$A$11:$N$210,11,0),0))</f>
        <v/>
      </c>
      <c r="G39" s="26">
        <f>IF(OR($C39="",$E39=""),"",$E39*$F39)</f>
        <v/>
      </c>
      <c r="H39" s="22" t="inlineStr">
        <is>
          <t>Tarjeta</t>
        </is>
      </c>
      <c r="I39" s="33">
        <f>IF($C39="","",IFERROR($E39*VLOOKUP($C39,'2_Control_de_Stock'!$A$11:$N$210,10,0),0))</f>
        <v/>
      </c>
      <c r="J39" s="36">
        <f>IF($G39="","",$G39-$I39)</f>
        <v/>
      </c>
      <c r="K39" s="37">
        <f>IF($C39="","",IFERROR(VLOOKUP($C39,'2_Control_de_Stock'!$A$11:$N$210,3,0),""))</f>
        <v/>
      </c>
    </row>
    <row r="40">
      <c r="A40" s="21" t="n">
        <v>46265</v>
      </c>
      <c r="B40" s="22" t="inlineStr">
        <is>
          <t>T-0030</t>
        </is>
      </c>
      <c r="C40" s="22" t="inlineStr">
        <is>
          <t>LIB-201</t>
        </is>
      </c>
      <c r="D40" s="35">
        <f>IF($C40="","",IFERROR(VLOOKUP($C40,'2_Control_de_Stock'!$A$11:$N$210,2,0),"⚠️ SKU no existe"))</f>
        <v/>
      </c>
      <c r="E40" s="24" t="n">
        <v>5</v>
      </c>
      <c r="F40" s="33">
        <f>IF($C40="","",IFERROR(VLOOKUP($C40,'2_Control_de_Stock'!$A$11:$N$210,11,0),0))</f>
        <v/>
      </c>
      <c r="G40" s="26">
        <f>IF(OR($C40="",$E40=""),"",$E40*$F40)</f>
        <v/>
      </c>
      <c r="H40" s="22" t="inlineStr">
        <is>
          <t>Efectivo</t>
        </is>
      </c>
      <c r="I40" s="33">
        <f>IF($C40="","",IFERROR($E40*VLOOKUP($C40,'2_Control_de_Stock'!$A$11:$N$210,10,0),0))</f>
        <v/>
      </c>
      <c r="J40" s="36">
        <f>IF($G40="","",$G40-$I40)</f>
        <v/>
      </c>
      <c r="K40" s="37">
        <f>IF($C40="","",IFERROR(VLOOKUP($C40,'2_Control_de_Stock'!$A$11:$N$210,3,0),""))</f>
        <v/>
      </c>
    </row>
    <row r="41">
      <c r="A41" s="21" t="n"/>
      <c r="B41" s="22" t="n"/>
      <c r="C41" s="22" t="n"/>
      <c r="D41" s="35">
        <f>IF($C41="","",IFERROR(VLOOKUP($C41,'2_Control_de_Stock'!$A$11:$N$210,2,0),"⚠️ SKU no existe"))</f>
        <v/>
      </c>
      <c r="E41" s="24" t="n"/>
      <c r="F41" s="33">
        <f>IF($C41="","",IFERROR(VLOOKUP($C41,'2_Control_de_Stock'!$A$11:$N$210,11,0),0))</f>
        <v/>
      </c>
      <c r="G41" s="26">
        <f>IF(OR($C41="",$E41=""),"",$E41*$F41)</f>
        <v/>
      </c>
      <c r="H41" s="22" t="n"/>
      <c r="I41" s="33">
        <f>IF($C41="","",IFERROR($E41*VLOOKUP($C41,'2_Control_de_Stock'!$A$11:$N$210,10,0),0))</f>
        <v/>
      </c>
      <c r="J41" s="36">
        <f>IF($G41="","",$G41-$I41)</f>
        <v/>
      </c>
      <c r="K41" s="37">
        <f>IF($C41="","",IFERROR(VLOOKUP($C41,'2_Control_de_Stock'!$A$11:$N$210,3,0),""))</f>
        <v/>
      </c>
    </row>
    <row r="42">
      <c r="A42" s="21" t="n"/>
      <c r="B42" s="22" t="n"/>
      <c r="C42" s="22" t="n"/>
      <c r="D42" s="35">
        <f>IF($C42="","",IFERROR(VLOOKUP($C42,'2_Control_de_Stock'!$A$11:$N$210,2,0),"⚠️ SKU no existe"))</f>
        <v/>
      </c>
      <c r="E42" s="24" t="n"/>
      <c r="F42" s="33">
        <f>IF($C42="","",IFERROR(VLOOKUP($C42,'2_Control_de_Stock'!$A$11:$N$210,11,0),0))</f>
        <v/>
      </c>
      <c r="G42" s="26">
        <f>IF(OR($C42="",$E42=""),"",$E42*$F42)</f>
        <v/>
      </c>
      <c r="H42" s="22" t="n"/>
      <c r="I42" s="33">
        <f>IF($C42="","",IFERROR($E42*VLOOKUP($C42,'2_Control_de_Stock'!$A$11:$N$210,10,0),0))</f>
        <v/>
      </c>
      <c r="J42" s="36">
        <f>IF($G42="","",$G42-$I42)</f>
        <v/>
      </c>
      <c r="K42" s="37">
        <f>IF($C42="","",IFERROR(VLOOKUP($C42,'2_Control_de_Stock'!$A$11:$N$210,3,0),""))</f>
        <v/>
      </c>
    </row>
    <row r="43">
      <c r="A43" s="21" t="n"/>
      <c r="B43" s="22" t="n"/>
      <c r="C43" s="22" t="n"/>
      <c r="D43" s="35">
        <f>IF($C43="","",IFERROR(VLOOKUP($C43,'2_Control_de_Stock'!$A$11:$N$210,2,0),"⚠️ SKU no existe"))</f>
        <v/>
      </c>
      <c r="E43" s="24" t="n"/>
      <c r="F43" s="33">
        <f>IF($C43="","",IFERROR(VLOOKUP($C43,'2_Control_de_Stock'!$A$11:$N$210,11,0),0))</f>
        <v/>
      </c>
      <c r="G43" s="26">
        <f>IF(OR($C43="",$E43=""),"",$E43*$F43)</f>
        <v/>
      </c>
      <c r="H43" s="22" t="n"/>
      <c r="I43" s="33">
        <f>IF($C43="","",IFERROR($E43*VLOOKUP($C43,'2_Control_de_Stock'!$A$11:$N$210,10,0),0))</f>
        <v/>
      </c>
      <c r="J43" s="36">
        <f>IF($G43="","",$G43-$I43)</f>
        <v/>
      </c>
      <c r="K43" s="37">
        <f>IF($C43="","",IFERROR(VLOOKUP($C43,'2_Control_de_Stock'!$A$11:$N$210,3,0),""))</f>
        <v/>
      </c>
    </row>
    <row r="44">
      <c r="A44" s="21" t="n"/>
      <c r="B44" s="22" t="n"/>
      <c r="C44" s="22" t="n"/>
      <c r="D44" s="35">
        <f>IF($C44="","",IFERROR(VLOOKUP($C44,'2_Control_de_Stock'!$A$11:$N$210,2,0),"⚠️ SKU no existe"))</f>
        <v/>
      </c>
      <c r="E44" s="24" t="n"/>
      <c r="F44" s="33">
        <f>IF($C44="","",IFERROR(VLOOKUP($C44,'2_Control_de_Stock'!$A$11:$N$210,11,0),0))</f>
        <v/>
      </c>
      <c r="G44" s="26">
        <f>IF(OR($C44="",$E44=""),"",$E44*$F44)</f>
        <v/>
      </c>
      <c r="H44" s="22" t="n"/>
      <c r="I44" s="33">
        <f>IF($C44="","",IFERROR($E44*VLOOKUP($C44,'2_Control_de_Stock'!$A$11:$N$210,10,0),0))</f>
        <v/>
      </c>
      <c r="J44" s="36">
        <f>IF($G44="","",$G44-$I44)</f>
        <v/>
      </c>
      <c r="K44" s="37">
        <f>IF($C44="","",IFERROR(VLOOKUP($C44,'2_Control_de_Stock'!$A$11:$N$210,3,0),""))</f>
        <v/>
      </c>
    </row>
    <row r="45">
      <c r="A45" s="21" t="n"/>
      <c r="B45" s="22" t="n"/>
      <c r="C45" s="22" t="n"/>
      <c r="D45" s="35">
        <f>IF($C45="","",IFERROR(VLOOKUP($C45,'2_Control_de_Stock'!$A$11:$N$210,2,0),"⚠️ SKU no existe"))</f>
        <v/>
      </c>
      <c r="E45" s="24" t="n"/>
      <c r="F45" s="33">
        <f>IF($C45="","",IFERROR(VLOOKUP($C45,'2_Control_de_Stock'!$A$11:$N$210,11,0),0))</f>
        <v/>
      </c>
      <c r="G45" s="26">
        <f>IF(OR($C45="",$E45=""),"",$E45*$F45)</f>
        <v/>
      </c>
      <c r="H45" s="22" t="n"/>
      <c r="I45" s="33">
        <f>IF($C45="","",IFERROR($E45*VLOOKUP($C45,'2_Control_de_Stock'!$A$11:$N$210,10,0),0))</f>
        <v/>
      </c>
      <c r="J45" s="36">
        <f>IF($G45="","",$G45-$I45)</f>
        <v/>
      </c>
      <c r="K45" s="37">
        <f>IF($C45="","",IFERROR(VLOOKUP($C45,'2_Control_de_Stock'!$A$11:$N$210,3,0),""))</f>
        <v/>
      </c>
    </row>
    <row r="46">
      <c r="A46" s="21" t="n"/>
      <c r="B46" s="22" t="n"/>
      <c r="C46" s="22" t="n"/>
      <c r="D46" s="35">
        <f>IF($C46="","",IFERROR(VLOOKUP($C46,'2_Control_de_Stock'!$A$11:$N$210,2,0),"⚠️ SKU no existe"))</f>
        <v/>
      </c>
      <c r="E46" s="24" t="n"/>
      <c r="F46" s="33">
        <f>IF($C46="","",IFERROR(VLOOKUP($C46,'2_Control_de_Stock'!$A$11:$N$210,11,0),0))</f>
        <v/>
      </c>
      <c r="G46" s="26">
        <f>IF(OR($C46="",$E46=""),"",$E46*$F46)</f>
        <v/>
      </c>
      <c r="H46" s="22" t="n"/>
      <c r="I46" s="33">
        <f>IF($C46="","",IFERROR($E46*VLOOKUP($C46,'2_Control_de_Stock'!$A$11:$N$210,10,0),0))</f>
        <v/>
      </c>
      <c r="J46" s="36">
        <f>IF($G46="","",$G46-$I46)</f>
        <v/>
      </c>
      <c r="K46" s="37">
        <f>IF($C46="","",IFERROR(VLOOKUP($C46,'2_Control_de_Stock'!$A$11:$N$210,3,0),""))</f>
        <v/>
      </c>
    </row>
    <row r="47">
      <c r="A47" s="21" t="n"/>
      <c r="B47" s="22" t="n"/>
      <c r="C47" s="22" t="n"/>
      <c r="D47" s="35">
        <f>IF($C47="","",IFERROR(VLOOKUP($C47,'2_Control_de_Stock'!$A$11:$N$210,2,0),"⚠️ SKU no existe"))</f>
        <v/>
      </c>
      <c r="E47" s="24" t="n"/>
      <c r="F47" s="33">
        <f>IF($C47="","",IFERROR(VLOOKUP($C47,'2_Control_de_Stock'!$A$11:$N$210,11,0),0))</f>
        <v/>
      </c>
      <c r="G47" s="26">
        <f>IF(OR($C47="",$E47=""),"",$E47*$F47)</f>
        <v/>
      </c>
      <c r="H47" s="22" t="n"/>
      <c r="I47" s="33">
        <f>IF($C47="","",IFERROR($E47*VLOOKUP($C47,'2_Control_de_Stock'!$A$11:$N$210,10,0),0))</f>
        <v/>
      </c>
      <c r="J47" s="36">
        <f>IF($G47="","",$G47-$I47)</f>
        <v/>
      </c>
      <c r="K47" s="37">
        <f>IF($C47="","",IFERROR(VLOOKUP($C47,'2_Control_de_Stock'!$A$11:$N$210,3,0),""))</f>
        <v/>
      </c>
    </row>
    <row r="48">
      <c r="A48" s="21" t="n"/>
      <c r="B48" s="22" t="n"/>
      <c r="C48" s="22" t="n"/>
      <c r="D48" s="35">
        <f>IF($C48="","",IFERROR(VLOOKUP($C48,'2_Control_de_Stock'!$A$11:$N$210,2,0),"⚠️ SKU no existe"))</f>
        <v/>
      </c>
      <c r="E48" s="24" t="n"/>
      <c r="F48" s="33">
        <f>IF($C48="","",IFERROR(VLOOKUP($C48,'2_Control_de_Stock'!$A$11:$N$210,11,0),0))</f>
        <v/>
      </c>
      <c r="G48" s="26">
        <f>IF(OR($C48="",$E48=""),"",$E48*$F48)</f>
        <v/>
      </c>
      <c r="H48" s="22" t="n"/>
      <c r="I48" s="33">
        <f>IF($C48="","",IFERROR($E48*VLOOKUP($C48,'2_Control_de_Stock'!$A$11:$N$210,10,0),0))</f>
        <v/>
      </c>
      <c r="J48" s="36">
        <f>IF($G48="","",$G48-$I48)</f>
        <v/>
      </c>
      <c r="K48" s="37">
        <f>IF($C48="","",IFERROR(VLOOKUP($C48,'2_Control_de_Stock'!$A$11:$N$210,3,0),""))</f>
        <v/>
      </c>
    </row>
    <row r="49">
      <c r="A49" s="21" t="n"/>
      <c r="B49" s="22" t="n"/>
      <c r="C49" s="22" t="n"/>
      <c r="D49" s="35">
        <f>IF($C49="","",IFERROR(VLOOKUP($C49,'2_Control_de_Stock'!$A$11:$N$210,2,0),"⚠️ SKU no existe"))</f>
        <v/>
      </c>
      <c r="E49" s="24" t="n"/>
      <c r="F49" s="33">
        <f>IF($C49="","",IFERROR(VLOOKUP($C49,'2_Control_de_Stock'!$A$11:$N$210,11,0),0))</f>
        <v/>
      </c>
      <c r="G49" s="26">
        <f>IF(OR($C49="",$E49=""),"",$E49*$F49)</f>
        <v/>
      </c>
      <c r="H49" s="22" t="n"/>
      <c r="I49" s="33">
        <f>IF($C49="","",IFERROR($E49*VLOOKUP($C49,'2_Control_de_Stock'!$A$11:$N$210,10,0),0))</f>
        <v/>
      </c>
      <c r="J49" s="36">
        <f>IF($G49="","",$G49-$I49)</f>
        <v/>
      </c>
      <c r="K49" s="37">
        <f>IF($C49="","",IFERROR(VLOOKUP($C49,'2_Control_de_Stock'!$A$11:$N$210,3,0),""))</f>
        <v/>
      </c>
    </row>
    <row r="50">
      <c r="A50" s="21" t="n"/>
      <c r="B50" s="22" t="n"/>
      <c r="C50" s="22" t="n"/>
      <c r="D50" s="35">
        <f>IF($C50="","",IFERROR(VLOOKUP($C50,'2_Control_de_Stock'!$A$11:$N$210,2,0),"⚠️ SKU no existe"))</f>
        <v/>
      </c>
      <c r="E50" s="24" t="n"/>
      <c r="F50" s="33">
        <f>IF($C50="","",IFERROR(VLOOKUP($C50,'2_Control_de_Stock'!$A$11:$N$210,11,0),0))</f>
        <v/>
      </c>
      <c r="G50" s="26">
        <f>IF(OR($C50="",$E50=""),"",$E50*$F50)</f>
        <v/>
      </c>
      <c r="H50" s="22" t="n"/>
      <c r="I50" s="33">
        <f>IF($C50="","",IFERROR($E50*VLOOKUP($C50,'2_Control_de_Stock'!$A$11:$N$210,10,0),0))</f>
        <v/>
      </c>
      <c r="J50" s="36">
        <f>IF($G50="","",$G50-$I50)</f>
        <v/>
      </c>
      <c r="K50" s="37">
        <f>IF($C50="","",IFERROR(VLOOKUP($C50,'2_Control_de_Stock'!$A$11:$N$210,3,0),""))</f>
        <v/>
      </c>
    </row>
    <row r="51">
      <c r="A51" s="21" t="n"/>
      <c r="B51" s="22" t="n"/>
      <c r="C51" s="22" t="n"/>
      <c r="D51" s="35">
        <f>IF($C51="","",IFERROR(VLOOKUP($C51,'2_Control_de_Stock'!$A$11:$N$210,2,0),"⚠️ SKU no existe"))</f>
        <v/>
      </c>
      <c r="E51" s="24" t="n"/>
      <c r="F51" s="33">
        <f>IF($C51="","",IFERROR(VLOOKUP($C51,'2_Control_de_Stock'!$A$11:$N$210,11,0),0))</f>
        <v/>
      </c>
      <c r="G51" s="26">
        <f>IF(OR($C51="",$E51=""),"",$E51*$F51)</f>
        <v/>
      </c>
      <c r="H51" s="22" t="n"/>
      <c r="I51" s="33">
        <f>IF($C51="","",IFERROR($E51*VLOOKUP($C51,'2_Control_de_Stock'!$A$11:$N$210,10,0),0))</f>
        <v/>
      </c>
      <c r="J51" s="36">
        <f>IF($G51="","",$G51-$I51)</f>
        <v/>
      </c>
      <c r="K51" s="37">
        <f>IF($C51="","",IFERROR(VLOOKUP($C51,'2_Control_de_Stock'!$A$11:$N$210,3,0),""))</f>
        <v/>
      </c>
    </row>
    <row r="52">
      <c r="A52" s="21" t="n"/>
      <c r="B52" s="22" t="n"/>
      <c r="C52" s="22" t="n"/>
      <c r="D52" s="35">
        <f>IF($C52="","",IFERROR(VLOOKUP($C52,'2_Control_de_Stock'!$A$11:$N$210,2,0),"⚠️ SKU no existe"))</f>
        <v/>
      </c>
      <c r="E52" s="24" t="n"/>
      <c r="F52" s="33">
        <f>IF($C52="","",IFERROR(VLOOKUP($C52,'2_Control_de_Stock'!$A$11:$N$210,11,0),0))</f>
        <v/>
      </c>
      <c r="G52" s="26">
        <f>IF(OR($C52="",$E52=""),"",$E52*$F52)</f>
        <v/>
      </c>
      <c r="H52" s="22" t="n"/>
      <c r="I52" s="33">
        <f>IF($C52="","",IFERROR($E52*VLOOKUP($C52,'2_Control_de_Stock'!$A$11:$N$210,10,0),0))</f>
        <v/>
      </c>
      <c r="J52" s="36">
        <f>IF($G52="","",$G52-$I52)</f>
        <v/>
      </c>
      <c r="K52" s="37">
        <f>IF($C52="","",IFERROR(VLOOKUP($C52,'2_Control_de_Stock'!$A$11:$N$210,3,0),""))</f>
        <v/>
      </c>
    </row>
    <row r="53">
      <c r="A53" s="21" t="n"/>
      <c r="B53" s="22" t="n"/>
      <c r="C53" s="22" t="n"/>
      <c r="D53" s="35">
        <f>IF($C53="","",IFERROR(VLOOKUP($C53,'2_Control_de_Stock'!$A$11:$N$210,2,0),"⚠️ SKU no existe"))</f>
        <v/>
      </c>
      <c r="E53" s="24" t="n"/>
      <c r="F53" s="33">
        <f>IF($C53="","",IFERROR(VLOOKUP($C53,'2_Control_de_Stock'!$A$11:$N$210,11,0),0))</f>
        <v/>
      </c>
      <c r="G53" s="26">
        <f>IF(OR($C53="",$E53=""),"",$E53*$F53)</f>
        <v/>
      </c>
      <c r="H53" s="22" t="n"/>
      <c r="I53" s="33">
        <f>IF($C53="","",IFERROR($E53*VLOOKUP($C53,'2_Control_de_Stock'!$A$11:$N$210,10,0),0))</f>
        <v/>
      </c>
      <c r="J53" s="36">
        <f>IF($G53="","",$G53-$I53)</f>
        <v/>
      </c>
      <c r="K53" s="37">
        <f>IF($C53="","",IFERROR(VLOOKUP($C53,'2_Control_de_Stock'!$A$11:$N$210,3,0),""))</f>
        <v/>
      </c>
    </row>
    <row r="54">
      <c r="A54" s="21" t="n"/>
      <c r="B54" s="22" t="n"/>
      <c r="C54" s="22" t="n"/>
      <c r="D54" s="35">
        <f>IF($C54="","",IFERROR(VLOOKUP($C54,'2_Control_de_Stock'!$A$11:$N$210,2,0),"⚠️ SKU no existe"))</f>
        <v/>
      </c>
      <c r="E54" s="24" t="n"/>
      <c r="F54" s="33">
        <f>IF($C54="","",IFERROR(VLOOKUP($C54,'2_Control_de_Stock'!$A$11:$N$210,11,0),0))</f>
        <v/>
      </c>
      <c r="G54" s="26">
        <f>IF(OR($C54="",$E54=""),"",$E54*$F54)</f>
        <v/>
      </c>
      <c r="H54" s="22" t="n"/>
      <c r="I54" s="33">
        <f>IF($C54="","",IFERROR($E54*VLOOKUP($C54,'2_Control_de_Stock'!$A$11:$N$210,10,0),0))</f>
        <v/>
      </c>
      <c r="J54" s="36">
        <f>IF($G54="","",$G54-$I54)</f>
        <v/>
      </c>
      <c r="K54" s="37">
        <f>IF($C54="","",IFERROR(VLOOKUP($C54,'2_Control_de_Stock'!$A$11:$N$210,3,0),""))</f>
        <v/>
      </c>
    </row>
    <row r="55">
      <c r="A55" s="21" t="n"/>
      <c r="B55" s="22" t="n"/>
      <c r="C55" s="22" t="n"/>
      <c r="D55" s="35">
        <f>IF($C55="","",IFERROR(VLOOKUP($C55,'2_Control_de_Stock'!$A$11:$N$210,2,0),"⚠️ SKU no existe"))</f>
        <v/>
      </c>
      <c r="E55" s="24" t="n"/>
      <c r="F55" s="33">
        <f>IF($C55="","",IFERROR(VLOOKUP($C55,'2_Control_de_Stock'!$A$11:$N$210,11,0),0))</f>
        <v/>
      </c>
      <c r="G55" s="26">
        <f>IF(OR($C55="",$E55=""),"",$E55*$F55)</f>
        <v/>
      </c>
      <c r="H55" s="22" t="n"/>
      <c r="I55" s="33">
        <f>IF($C55="","",IFERROR($E55*VLOOKUP($C55,'2_Control_de_Stock'!$A$11:$N$210,10,0),0))</f>
        <v/>
      </c>
      <c r="J55" s="36">
        <f>IF($G55="","",$G55-$I55)</f>
        <v/>
      </c>
      <c r="K55" s="37">
        <f>IF($C55="","",IFERROR(VLOOKUP($C55,'2_Control_de_Stock'!$A$11:$N$210,3,0),""))</f>
        <v/>
      </c>
    </row>
    <row r="56">
      <c r="A56" s="21" t="n"/>
      <c r="B56" s="22" t="n"/>
      <c r="C56" s="22" t="n"/>
      <c r="D56" s="35">
        <f>IF($C56="","",IFERROR(VLOOKUP($C56,'2_Control_de_Stock'!$A$11:$N$210,2,0),"⚠️ SKU no existe"))</f>
        <v/>
      </c>
      <c r="E56" s="24" t="n"/>
      <c r="F56" s="33">
        <f>IF($C56="","",IFERROR(VLOOKUP($C56,'2_Control_de_Stock'!$A$11:$N$210,11,0),0))</f>
        <v/>
      </c>
      <c r="G56" s="26">
        <f>IF(OR($C56="",$E56=""),"",$E56*$F56)</f>
        <v/>
      </c>
      <c r="H56" s="22" t="n"/>
      <c r="I56" s="33">
        <f>IF($C56="","",IFERROR($E56*VLOOKUP($C56,'2_Control_de_Stock'!$A$11:$N$210,10,0),0))</f>
        <v/>
      </c>
      <c r="J56" s="36">
        <f>IF($G56="","",$G56-$I56)</f>
        <v/>
      </c>
      <c r="K56" s="37">
        <f>IF($C56="","",IFERROR(VLOOKUP($C56,'2_Control_de_Stock'!$A$11:$N$210,3,0),""))</f>
        <v/>
      </c>
    </row>
    <row r="57">
      <c r="A57" s="21" t="n"/>
      <c r="B57" s="22" t="n"/>
      <c r="C57" s="22" t="n"/>
      <c r="D57" s="35">
        <f>IF($C57="","",IFERROR(VLOOKUP($C57,'2_Control_de_Stock'!$A$11:$N$210,2,0),"⚠️ SKU no existe"))</f>
        <v/>
      </c>
      <c r="E57" s="24" t="n"/>
      <c r="F57" s="33">
        <f>IF($C57="","",IFERROR(VLOOKUP($C57,'2_Control_de_Stock'!$A$11:$N$210,11,0),0))</f>
        <v/>
      </c>
      <c r="G57" s="26">
        <f>IF(OR($C57="",$E57=""),"",$E57*$F57)</f>
        <v/>
      </c>
      <c r="H57" s="22" t="n"/>
      <c r="I57" s="33">
        <f>IF($C57="","",IFERROR($E57*VLOOKUP($C57,'2_Control_de_Stock'!$A$11:$N$210,10,0),0))</f>
        <v/>
      </c>
      <c r="J57" s="36">
        <f>IF($G57="","",$G57-$I57)</f>
        <v/>
      </c>
      <c r="K57" s="37">
        <f>IF($C57="","",IFERROR(VLOOKUP($C57,'2_Control_de_Stock'!$A$11:$N$210,3,0),""))</f>
        <v/>
      </c>
    </row>
    <row r="58">
      <c r="A58" s="21" t="n"/>
      <c r="B58" s="22" t="n"/>
      <c r="C58" s="22" t="n"/>
      <c r="D58" s="35">
        <f>IF($C58="","",IFERROR(VLOOKUP($C58,'2_Control_de_Stock'!$A$11:$N$210,2,0),"⚠️ SKU no existe"))</f>
        <v/>
      </c>
      <c r="E58" s="24" t="n"/>
      <c r="F58" s="33">
        <f>IF($C58="","",IFERROR(VLOOKUP($C58,'2_Control_de_Stock'!$A$11:$N$210,11,0),0))</f>
        <v/>
      </c>
      <c r="G58" s="26">
        <f>IF(OR($C58="",$E58=""),"",$E58*$F58)</f>
        <v/>
      </c>
      <c r="H58" s="22" t="n"/>
      <c r="I58" s="33">
        <f>IF($C58="","",IFERROR($E58*VLOOKUP($C58,'2_Control_de_Stock'!$A$11:$N$210,10,0),0))</f>
        <v/>
      </c>
      <c r="J58" s="36">
        <f>IF($G58="","",$G58-$I58)</f>
        <v/>
      </c>
      <c r="K58" s="37">
        <f>IF($C58="","",IFERROR(VLOOKUP($C58,'2_Control_de_Stock'!$A$11:$N$210,3,0),""))</f>
        <v/>
      </c>
    </row>
    <row r="59">
      <c r="A59" s="21" t="n"/>
      <c r="B59" s="22" t="n"/>
      <c r="C59" s="22" t="n"/>
      <c r="D59" s="35">
        <f>IF($C59="","",IFERROR(VLOOKUP($C59,'2_Control_de_Stock'!$A$11:$N$210,2,0),"⚠️ SKU no existe"))</f>
        <v/>
      </c>
      <c r="E59" s="24" t="n"/>
      <c r="F59" s="33">
        <f>IF($C59="","",IFERROR(VLOOKUP($C59,'2_Control_de_Stock'!$A$11:$N$210,11,0),0))</f>
        <v/>
      </c>
      <c r="G59" s="26">
        <f>IF(OR($C59="",$E59=""),"",$E59*$F59)</f>
        <v/>
      </c>
      <c r="H59" s="22" t="n"/>
      <c r="I59" s="33">
        <f>IF($C59="","",IFERROR($E59*VLOOKUP($C59,'2_Control_de_Stock'!$A$11:$N$210,10,0),0))</f>
        <v/>
      </c>
      <c r="J59" s="36">
        <f>IF($G59="","",$G59-$I59)</f>
        <v/>
      </c>
      <c r="K59" s="37">
        <f>IF($C59="","",IFERROR(VLOOKUP($C59,'2_Control_de_Stock'!$A$11:$N$210,3,0),""))</f>
        <v/>
      </c>
    </row>
    <row r="60">
      <c r="A60" s="21" t="n"/>
      <c r="B60" s="22" t="n"/>
      <c r="C60" s="22" t="n"/>
      <c r="D60" s="35">
        <f>IF($C60="","",IFERROR(VLOOKUP($C60,'2_Control_de_Stock'!$A$11:$N$210,2,0),"⚠️ SKU no existe"))</f>
        <v/>
      </c>
      <c r="E60" s="24" t="n"/>
      <c r="F60" s="33">
        <f>IF($C60="","",IFERROR(VLOOKUP($C60,'2_Control_de_Stock'!$A$11:$N$210,11,0),0))</f>
        <v/>
      </c>
      <c r="G60" s="26">
        <f>IF(OR($C60="",$E60=""),"",$E60*$F60)</f>
        <v/>
      </c>
      <c r="H60" s="22" t="n"/>
      <c r="I60" s="33">
        <f>IF($C60="","",IFERROR($E60*VLOOKUP($C60,'2_Control_de_Stock'!$A$11:$N$210,10,0),0))</f>
        <v/>
      </c>
      <c r="J60" s="36">
        <f>IF($G60="","",$G60-$I60)</f>
        <v/>
      </c>
      <c r="K60" s="37">
        <f>IF($C60="","",IFERROR(VLOOKUP($C60,'2_Control_de_Stock'!$A$11:$N$210,3,0),""))</f>
        <v/>
      </c>
    </row>
    <row r="61">
      <c r="A61" s="21" t="n"/>
      <c r="B61" s="22" t="n"/>
      <c r="C61" s="22" t="n"/>
      <c r="D61" s="35">
        <f>IF($C61="","",IFERROR(VLOOKUP($C61,'2_Control_de_Stock'!$A$11:$N$210,2,0),"⚠️ SKU no existe"))</f>
        <v/>
      </c>
      <c r="E61" s="24" t="n"/>
      <c r="F61" s="33">
        <f>IF($C61="","",IFERROR(VLOOKUP($C61,'2_Control_de_Stock'!$A$11:$N$210,11,0),0))</f>
        <v/>
      </c>
      <c r="G61" s="26">
        <f>IF(OR($C61="",$E61=""),"",$E61*$F61)</f>
        <v/>
      </c>
      <c r="H61" s="22" t="n"/>
      <c r="I61" s="33">
        <f>IF($C61="","",IFERROR($E61*VLOOKUP($C61,'2_Control_de_Stock'!$A$11:$N$210,10,0),0))</f>
        <v/>
      </c>
      <c r="J61" s="36">
        <f>IF($G61="","",$G61-$I61)</f>
        <v/>
      </c>
      <c r="K61" s="37">
        <f>IF($C61="","",IFERROR(VLOOKUP($C61,'2_Control_de_Stock'!$A$11:$N$210,3,0),""))</f>
        <v/>
      </c>
    </row>
    <row r="62">
      <c r="A62" s="21" t="n"/>
      <c r="B62" s="22" t="n"/>
      <c r="C62" s="22" t="n"/>
      <c r="D62" s="35">
        <f>IF($C62="","",IFERROR(VLOOKUP($C62,'2_Control_de_Stock'!$A$11:$N$210,2,0),"⚠️ SKU no existe"))</f>
        <v/>
      </c>
      <c r="E62" s="24" t="n"/>
      <c r="F62" s="33">
        <f>IF($C62="","",IFERROR(VLOOKUP($C62,'2_Control_de_Stock'!$A$11:$N$210,11,0),0))</f>
        <v/>
      </c>
      <c r="G62" s="26">
        <f>IF(OR($C62="",$E62=""),"",$E62*$F62)</f>
        <v/>
      </c>
      <c r="H62" s="22" t="n"/>
      <c r="I62" s="33">
        <f>IF($C62="","",IFERROR($E62*VLOOKUP($C62,'2_Control_de_Stock'!$A$11:$N$210,10,0),0))</f>
        <v/>
      </c>
      <c r="J62" s="36">
        <f>IF($G62="","",$G62-$I62)</f>
        <v/>
      </c>
      <c r="K62" s="37">
        <f>IF($C62="","",IFERROR(VLOOKUP($C62,'2_Control_de_Stock'!$A$11:$N$210,3,0),""))</f>
        <v/>
      </c>
    </row>
    <row r="63">
      <c r="A63" s="21" t="n"/>
      <c r="B63" s="22" t="n"/>
      <c r="C63" s="22" t="n"/>
      <c r="D63" s="35">
        <f>IF($C63="","",IFERROR(VLOOKUP($C63,'2_Control_de_Stock'!$A$11:$N$210,2,0),"⚠️ SKU no existe"))</f>
        <v/>
      </c>
      <c r="E63" s="24" t="n"/>
      <c r="F63" s="33">
        <f>IF($C63="","",IFERROR(VLOOKUP($C63,'2_Control_de_Stock'!$A$11:$N$210,11,0),0))</f>
        <v/>
      </c>
      <c r="G63" s="26">
        <f>IF(OR($C63="",$E63=""),"",$E63*$F63)</f>
        <v/>
      </c>
      <c r="H63" s="22" t="n"/>
      <c r="I63" s="33">
        <f>IF($C63="","",IFERROR($E63*VLOOKUP($C63,'2_Control_de_Stock'!$A$11:$N$210,10,0),0))</f>
        <v/>
      </c>
      <c r="J63" s="36">
        <f>IF($G63="","",$G63-$I63)</f>
        <v/>
      </c>
      <c r="K63" s="37">
        <f>IF($C63="","",IFERROR(VLOOKUP($C63,'2_Control_de_Stock'!$A$11:$N$210,3,0),""))</f>
        <v/>
      </c>
    </row>
    <row r="64">
      <c r="A64" s="21" t="n"/>
      <c r="B64" s="22" t="n"/>
      <c r="C64" s="22" t="n"/>
      <c r="D64" s="35">
        <f>IF($C64="","",IFERROR(VLOOKUP($C64,'2_Control_de_Stock'!$A$11:$N$210,2,0),"⚠️ SKU no existe"))</f>
        <v/>
      </c>
      <c r="E64" s="24" t="n"/>
      <c r="F64" s="33">
        <f>IF($C64="","",IFERROR(VLOOKUP($C64,'2_Control_de_Stock'!$A$11:$N$210,11,0),0))</f>
        <v/>
      </c>
      <c r="G64" s="26">
        <f>IF(OR($C64="",$E64=""),"",$E64*$F64)</f>
        <v/>
      </c>
      <c r="H64" s="22" t="n"/>
      <c r="I64" s="33">
        <f>IF($C64="","",IFERROR($E64*VLOOKUP($C64,'2_Control_de_Stock'!$A$11:$N$210,10,0),0))</f>
        <v/>
      </c>
      <c r="J64" s="36">
        <f>IF($G64="","",$G64-$I64)</f>
        <v/>
      </c>
      <c r="K64" s="37">
        <f>IF($C64="","",IFERROR(VLOOKUP($C64,'2_Control_de_Stock'!$A$11:$N$210,3,0),""))</f>
        <v/>
      </c>
    </row>
    <row r="65">
      <c r="A65" s="21" t="n"/>
      <c r="B65" s="22" t="n"/>
      <c r="C65" s="22" t="n"/>
      <c r="D65" s="35">
        <f>IF($C65="","",IFERROR(VLOOKUP($C65,'2_Control_de_Stock'!$A$11:$N$210,2,0),"⚠️ SKU no existe"))</f>
        <v/>
      </c>
      <c r="E65" s="24" t="n"/>
      <c r="F65" s="33">
        <f>IF($C65="","",IFERROR(VLOOKUP($C65,'2_Control_de_Stock'!$A$11:$N$210,11,0),0))</f>
        <v/>
      </c>
      <c r="G65" s="26">
        <f>IF(OR($C65="",$E65=""),"",$E65*$F65)</f>
        <v/>
      </c>
      <c r="H65" s="22" t="n"/>
      <c r="I65" s="33">
        <f>IF($C65="","",IFERROR($E65*VLOOKUP($C65,'2_Control_de_Stock'!$A$11:$N$210,10,0),0))</f>
        <v/>
      </c>
      <c r="J65" s="36">
        <f>IF($G65="","",$G65-$I65)</f>
        <v/>
      </c>
      <c r="K65" s="37">
        <f>IF($C65="","",IFERROR(VLOOKUP($C65,'2_Control_de_Stock'!$A$11:$N$210,3,0),""))</f>
        <v/>
      </c>
    </row>
    <row r="66">
      <c r="A66" s="21" t="n"/>
      <c r="B66" s="22" t="n"/>
      <c r="C66" s="22" t="n"/>
      <c r="D66" s="35">
        <f>IF($C66="","",IFERROR(VLOOKUP($C66,'2_Control_de_Stock'!$A$11:$N$210,2,0),"⚠️ SKU no existe"))</f>
        <v/>
      </c>
      <c r="E66" s="24" t="n"/>
      <c r="F66" s="33">
        <f>IF($C66="","",IFERROR(VLOOKUP($C66,'2_Control_de_Stock'!$A$11:$N$210,11,0),0))</f>
        <v/>
      </c>
      <c r="G66" s="26">
        <f>IF(OR($C66="",$E66=""),"",$E66*$F66)</f>
        <v/>
      </c>
      <c r="H66" s="22" t="n"/>
      <c r="I66" s="33">
        <f>IF($C66="","",IFERROR($E66*VLOOKUP($C66,'2_Control_de_Stock'!$A$11:$N$210,10,0),0))</f>
        <v/>
      </c>
      <c r="J66" s="36">
        <f>IF($G66="","",$G66-$I66)</f>
        <v/>
      </c>
      <c r="K66" s="37">
        <f>IF($C66="","",IFERROR(VLOOKUP($C66,'2_Control_de_Stock'!$A$11:$N$210,3,0),""))</f>
        <v/>
      </c>
    </row>
    <row r="67">
      <c r="A67" s="21" t="n"/>
      <c r="B67" s="22" t="n"/>
      <c r="C67" s="22" t="n"/>
      <c r="D67" s="35">
        <f>IF($C67="","",IFERROR(VLOOKUP($C67,'2_Control_de_Stock'!$A$11:$N$210,2,0),"⚠️ SKU no existe"))</f>
        <v/>
      </c>
      <c r="E67" s="24" t="n"/>
      <c r="F67" s="33">
        <f>IF($C67="","",IFERROR(VLOOKUP($C67,'2_Control_de_Stock'!$A$11:$N$210,11,0),0))</f>
        <v/>
      </c>
      <c r="G67" s="26">
        <f>IF(OR($C67="",$E67=""),"",$E67*$F67)</f>
        <v/>
      </c>
      <c r="H67" s="22" t="n"/>
      <c r="I67" s="33">
        <f>IF($C67="","",IFERROR($E67*VLOOKUP($C67,'2_Control_de_Stock'!$A$11:$N$210,10,0),0))</f>
        <v/>
      </c>
      <c r="J67" s="36">
        <f>IF($G67="","",$G67-$I67)</f>
        <v/>
      </c>
      <c r="K67" s="37">
        <f>IF($C67="","",IFERROR(VLOOKUP($C67,'2_Control_de_Stock'!$A$11:$N$210,3,0),""))</f>
        <v/>
      </c>
    </row>
    <row r="68">
      <c r="A68" s="21" t="n"/>
      <c r="B68" s="22" t="n"/>
      <c r="C68" s="22" t="n"/>
      <c r="D68" s="35">
        <f>IF($C68="","",IFERROR(VLOOKUP($C68,'2_Control_de_Stock'!$A$11:$N$210,2,0),"⚠️ SKU no existe"))</f>
        <v/>
      </c>
      <c r="E68" s="24" t="n"/>
      <c r="F68" s="33">
        <f>IF($C68="","",IFERROR(VLOOKUP($C68,'2_Control_de_Stock'!$A$11:$N$210,11,0),0))</f>
        <v/>
      </c>
      <c r="G68" s="26">
        <f>IF(OR($C68="",$E68=""),"",$E68*$F68)</f>
        <v/>
      </c>
      <c r="H68" s="22" t="n"/>
      <c r="I68" s="33">
        <f>IF($C68="","",IFERROR($E68*VLOOKUP($C68,'2_Control_de_Stock'!$A$11:$N$210,10,0),0))</f>
        <v/>
      </c>
      <c r="J68" s="36">
        <f>IF($G68="","",$G68-$I68)</f>
        <v/>
      </c>
      <c r="K68" s="37">
        <f>IF($C68="","",IFERROR(VLOOKUP($C68,'2_Control_de_Stock'!$A$11:$N$210,3,0),""))</f>
        <v/>
      </c>
    </row>
    <row r="69">
      <c r="A69" s="21" t="n"/>
      <c r="B69" s="22" t="n"/>
      <c r="C69" s="22" t="n"/>
      <c r="D69" s="35">
        <f>IF($C69="","",IFERROR(VLOOKUP($C69,'2_Control_de_Stock'!$A$11:$N$210,2,0),"⚠️ SKU no existe"))</f>
        <v/>
      </c>
      <c r="E69" s="24" t="n"/>
      <c r="F69" s="33">
        <f>IF($C69="","",IFERROR(VLOOKUP($C69,'2_Control_de_Stock'!$A$11:$N$210,11,0),0))</f>
        <v/>
      </c>
      <c r="G69" s="26">
        <f>IF(OR($C69="",$E69=""),"",$E69*$F69)</f>
        <v/>
      </c>
      <c r="H69" s="22" t="n"/>
      <c r="I69" s="33">
        <f>IF($C69="","",IFERROR($E69*VLOOKUP($C69,'2_Control_de_Stock'!$A$11:$N$210,10,0),0))</f>
        <v/>
      </c>
      <c r="J69" s="36">
        <f>IF($G69="","",$G69-$I69)</f>
        <v/>
      </c>
      <c r="K69" s="37">
        <f>IF($C69="","",IFERROR(VLOOKUP($C69,'2_Control_de_Stock'!$A$11:$N$210,3,0),""))</f>
        <v/>
      </c>
    </row>
    <row r="70">
      <c r="A70" s="21" t="n"/>
      <c r="B70" s="22" t="n"/>
      <c r="C70" s="22" t="n"/>
      <c r="D70" s="35">
        <f>IF($C70="","",IFERROR(VLOOKUP($C70,'2_Control_de_Stock'!$A$11:$N$210,2,0),"⚠️ SKU no existe"))</f>
        <v/>
      </c>
      <c r="E70" s="24" t="n"/>
      <c r="F70" s="33">
        <f>IF($C70="","",IFERROR(VLOOKUP($C70,'2_Control_de_Stock'!$A$11:$N$210,11,0),0))</f>
        <v/>
      </c>
      <c r="G70" s="26">
        <f>IF(OR($C70="",$E70=""),"",$E70*$F70)</f>
        <v/>
      </c>
      <c r="H70" s="22" t="n"/>
      <c r="I70" s="33">
        <f>IF($C70="","",IFERROR($E70*VLOOKUP($C70,'2_Control_de_Stock'!$A$11:$N$210,10,0),0))</f>
        <v/>
      </c>
      <c r="J70" s="36">
        <f>IF($G70="","",$G70-$I70)</f>
        <v/>
      </c>
      <c r="K70" s="37">
        <f>IF($C70="","",IFERROR(VLOOKUP($C70,'2_Control_de_Stock'!$A$11:$N$210,3,0),""))</f>
        <v/>
      </c>
    </row>
    <row r="71">
      <c r="A71" s="21" t="n"/>
      <c r="B71" s="22" t="n"/>
      <c r="C71" s="22" t="n"/>
      <c r="D71" s="35">
        <f>IF($C71="","",IFERROR(VLOOKUP($C71,'2_Control_de_Stock'!$A$11:$N$210,2,0),"⚠️ SKU no existe"))</f>
        <v/>
      </c>
      <c r="E71" s="24" t="n"/>
      <c r="F71" s="33">
        <f>IF($C71="","",IFERROR(VLOOKUP($C71,'2_Control_de_Stock'!$A$11:$N$210,11,0),0))</f>
        <v/>
      </c>
      <c r="G71" s="26">
        <f>IF(OR($C71="",$E71=""),"",$E71*$F71)</f>
        <v/>
      </c>
      <c r="H71" s="22" t="n"/>
      <c r="I71" s="33">
        <f>IF($C71="","",IFERROR($E71*VLOOKUP($C71,'2_Control_de_Stock'!$A$11:$N$210,10,0),0))</f>
        <v/>
      </c>
      <c r="J71" s="36">
        <f>IF($G71="","",$G71-$I71)</f>
        <v/>
      </c>
      <c r="K71" s="37">
        <f>IF($C71="","",IFERROR(VLOOKUP($C71,'2_Control_de_Stock'!$A$11:$N$210,3,0),""))</f>
        <v/>
      </c>
    </row>
    <row r="72">
      <c r="A72" s="21" t="n"/>
      <c r="B72" s="22" t="n"/>
      <c r="C72" s="22" t="n"/>
      <c r="D72" s="35">
        <f>IF($C72="","",IFERROR(VLOOKUP($C72,'2_Control_de_Stock'!$A$11:$N$210,2,0),"⚠️ SKU no existe"))</f>
        <v/>
      </c>
      <c r="E72" s="24" t="n"/>
      <c r="F72" s="33">
        <f>IF($C72="","",IFERROR(VLOOKUP($C72,'2_Control_de_Stock'!$A$11:$N$210,11,0),0))</f>
        <v/>
      </c>
      <c r="G72" s="26">
        <f>IF(OR($C72="",$E72=""),"",$E72*$F72)</f>
        <v/>
      </c>
      <c r="H72" s="22" t="n"/>
      <c r="I72" s="33">
        <f>IF($C72="","",IFERROR($E72*VLOOKUP($C72,'2_Control_de_Stock'!$A$11:$N$210,10,0),0))</f>
        <v/>
      </c>
      <c r="J72" s="36">
        <f>IF($G72="","",$G72-$I72)</f>
        <v/>
      </c>
      <c r="K72" s="37">
        <f>IF($C72="","",IFERROR(VLOOKUP($C72,'2_Control_de_Stock'!$A$11:$N$210,3,0),""))</f>
        <v/>
      </c>
    </row>
    <row r="73">
      <c r="A73" s="21" t="n"/>
      <c r="B73" s="22" t="n"/>
      <c r="C73" s="22" t="n"/>
      <c r="D73" s="35">
        <f>IF($C73="","",IFERROR(VLOOKUP($C73,'2_Control_de_Stock'!$A$11:$N$210,2,0),"⚠️ SKU no existe"))</f>
        <v/>
      </c>
      <c r="E73" s="24" t="n"/>
      <c r="F73" s="33">
        <f>IF($C73="","",IFERROR(VLOOKUP($C73,'2_Control_de_Stock'!$A$11:$N$210,11,0),0))</f>
        <v/>
      </c>
      <c r="G73" s="26">
        <f>IF(OR($C73="",$E73=""),"",$E73*$F73)</f>
        <v/>
      </c>
      <c r="H73" s="22" t="n"/>
      <c r="I73" s="33">
        <f>IF($C73="","",IFERROR($E73*VLOOKUP($C73,'2_Control_de_Stock'!$A$11:$N$210,10,0),0))</f>
        <v/>
      </c>
      <c r="J73" s="36">
        <f>IF($G73="","",$G73-$I73)</f>
        <v/>
      </c>
      <c r="K73" s="37">
        <f>IF($C73="","",IFERROR(VLOOKUP($C73,'2_Control_de_Stock'!$A$11:$N$210,3,0),""))</f>
        <v/>
      </c>
    </row>
    <row r="74">
      <c r="A74" s="21" t="n"/>
      <c r="B74" s="22" t="n"/>
      <c r="C74" s="22" t="n"/>
      <c r="D74" s="35">
        <f>IF($C74="","",IFERROR(VLOOKUP($C74,'2_Control_de_Stock'!$A$11:$N$210,2,0),"⚠️ SKU no existe"))</f>
        <v/>
      </c>
      <c r="E74" s="24" t="n"/>
      <c r="F74" s="33">
        <f>IF($C74="","",IFERROR(VLOOKUP($C74,'2_Control_de_Stock'!$A$11:$N$210,11,0),0))</f>
        <v/>
      </c>
      <c r="G74" s="26">
        <f>IF(OR($C74="",$E74=""),"",$E74*$F74)</f>
        <v/>
      </c>
      <c r="H74" s="22" t="n"/>
      <c r="I74" s="33">
        <f>IF($C74="","",IFERROR($E74*VLOOKUP($C74,'2_Control_de_Stock'!$A$11:$N$210,10,0),0))</f>
        <v/>
      </c>
      <c r="J74" s="36">
        <f>IF($G74="","",$G74-$I74)</f>
        <v/>
      </c>
      <c r="K74" s="37">
        <f>IF($C74="","",IFERROR(VLOOKUP($C74,'2_Control_de_Stock'!$A$11:$N$210,3,0),""))</f>
        <v/>
      </c>
    </row>
    <row r="75">
      <c r="A75" s="21" t="n"/>
      <c r="B75" s="22" t="n"/>
      <c r="C75" s="22" t="n"/>
      <c r="D75" s="35">
        <f>IF($C75="","",IFERROR(VLOOKUP($C75,'2_Control_de_Stock'!$A$11:$N$210,2,0),"⚠️ SKU no existe"))</f>
        <v/>
      </c>
      <c r="E75" s="24" t="n"/>
      <c r="F75" s="33">
        <f>IF($C75="","",IFERROR(VLOOKUP($C75,'2_Control_de_Stock'!$A$11:$N$210,11,0),0))</f>
        <v/>
      </c>
      <c r="G75" s="26">
        <f>IF(OR($C75="",$E75=""),"",$E75*$F75)</f>
        <v/>
      </c>
      <c r="H75" s="22" t="n"/>
      <c r="I75" s="33">
        <f>IF($C75="","",IFERROR($E75*VLOOKUP($C75,'2_Control_de_Stock'!$A$11:$N$210,10,0),0))</f>
        <v/>
      </c>
      <c r="J75" s="36">
        <f>IF($G75="","",$G75-$I75)</f>
        <v/>
      </c>
      <c r="K75" s="37">
        <f>IF($C75="","",IFERROR(VLOOKUP($C75,'2_Control_de_Stock'!$A$11:$N$210,3,0),""))</f>
        <v/>
      </c>
    </row>
    <row r="76">
      <c r="A76" s="21" t="n"/>
      <c r="B76" s="22" t="n"/>
      <c r="C76" s="22" t="n"/>
      <c r="D76" s="35">
        <f>IF($C76="","",IFERROR(VLOOKUP($C76,'2_Control_de_Stock'!$A$11:$N$210,2,0),"⚠️ SKU no existe"))</f>
        <v/>
      </c>
      <c r="E76" s="24" t="n"/>
      <c r="F76" s="33">
        <f>IF($C76="","",IFERROR(VLOOKUP($C76,'2_Control_de_Stock'!$A$11:$N$210,11,0),0))</f>
        <v/>
      </c>
      <c r="G76" s="26">
        <f>IF(OR($C76="",$E76=""),"",$E76*$F76)</f>
        <v/>
      </c>
      <c r="H76" s="22" t="n"/>
      <c r="I76" s="33">
        <f>IF($C76="","",IFERROR($E76*VLOOKUP($C76,'2_Control_de_Stock'!$A$11:$N$210,10,0),0))</f>
        <v/>
      </c>
      <c r="J76" s="36">
        <f>IF($G76="","",$G76-$I76)</f>
        <v/>
      </c>
      <c r="K76" s="37">
        <f>IF($C76="","",IFERROR(VLOOKUP($C76,'2_Control_de_Stock'!$A$11:$N$210,3,0),""))</f>
        <v/>
      </c>
    </row>
    <row r="77">
      <c r="A77" s="21" t="n"/>
      <c r="B77" s="22" t="n"/>
      <c r="C77" s="22" t="n"/>
      <c r="D77" s="35">
        <f>IF($C77="","",IFERROR(VLOOKUP($C77,'2_Control_de_Stock'!$A$11:$N$210,2,0),"⚠️ SKU no existe"))</f>
        <v/>
      </c>
      <c r="E77" s="24" t="n"/>
      <c r="F77" s="33">
        <f>IF($C77="","",IFERROR(VLOOKUP($C77,'2_Control_de_Stock'!$A$11:$N$210,11,0),0))</f>
        <v/>
      </c>
      <c r="G77" s="26">
        <f>IF(OR($C77="",$E77=""),"",$E77*$F77)</f>
        <v/>
      </c>
      <c r="H77" s="22" t="n"/>
      <c r="I77" s="33">
        <f>IF($C77="","",IFERROR($E77*VLOOKUP($C77,'2_Control_de_Stock'!$A$11:$N$210,10,0),0))</f>
        <v/>
      </c>
      <c r="J77" s="36">
        <f>IF($G77="","",$G77-$I77)</f>
        <v/>
      </c>
      <c r="K77" s="37">
        <f>IF($C77="","",IFERROR(VLOOKUP($C77,'2_Control_de_Stock'!$A$11:$N$210,3,0),""))</f>
        <v/>
      </c>
    </row>
    <row r="78">
      <c r="A78" s="21" t="n"/>
      <c r="B78" s="22" t="n"/>
      <c r="C78" s="22" t="n"/>
      <c r="D78" s="35">
        <f>IF($C78="","",IFERROR(VLOOKUP($C78,'2_Control_de_Stock'!$A$11:$N$210,2,0),"⚠️ SKU no existe"))</f>
        <v/>
      </c>
      <c r="E78" s="24" t="n"/>
      <c r="F78" s="33">
        <f>IF($C78="","",IFERROR(VLOOKUP($C78,'2_Control_de_Stock'!$A$11:$N$210,11,0),0))</f>
        <v/>
      </c>
      <c r="G78" s="26">
        <f>IF(OR($C78="",$E78=""),"",$E78*$F78)</f>
        <v/>
      </c>
      <c r="H78" s="22" t="n"/>
      <c r="I78" s="33">
        <f>IF($C78="","",IFERROR($E78*VLOOKUP($C78,'2_Control_de_Stock'!$A$11:$N$210,10,0),0))</f>
        <v/>
      </c>
      <c r="J78" s="36">
        <f>IF($G78="","",$G78-$I78)</f>
        <v/>
      </c>
      <c r="K78" s="37">
        <f>IF($C78="","",IFERROR(VLOOKUP($C78,'2_Control_de_Stock'!$A$11:$N$210,3,0),""))</f>
        <v/>
      </c>
    </row>
    <row r="79">
      <c r="A79" s="21" t="n"/>
      <c r="B79" s="22" t="n"/>
      <c r="C79" s="22" t="n"/>
      <c r="D79" s="35">
        <f>IF($C79="","",IFERROR(VLOOKUP($C79,'2_Control_de_Stock'!$A$11:$N$210,2,0),"⚠️ SKU no existe"))</f>
        <v/>
      </c>
      <c r="E79" s="24" t="n"/>
      <c r="F79" s="33">
        <f>IF($C79="","",IFERROR(VLOOKUP($C79,'2_Control_de_Stock'!$A$11:$N$210,11,0),0))</f>
        <v/>
      </c>
      <c r="G79" s="26">
        <f>IF(OR($C79="",$E79=""),"",$E79*$F79)</f>
        <v/>
      </c>
      <c r="H79" s="22" t="n"/>
      <c r="I79" s="33">
        <f>IF($C79="","",IFERROR($E79*VLOOKUP($C79,'2_Control_de_Stock'!$A$11:$N$210,10,0),0))</f>
        <v/>
      </c>
      <c r="J79" s="36">
        <f>IF($G79="","",$G79-$I79)</f>
        <v/>
      </c>
      <c r="K79" s="37">
        <f>IF($C79="","",IFERROR(VLOOKUP($C79,'2_Control_de_Stock'!$A$11:$N$210,3,0),""))</f>
        <v/>
      </c>
    </row>
    <row r="80">
      <c r="A80" s="21" t="n"/>
      <c r="B80" s="22" t="n"/>
      <c r="C80" s="22" t="n"/>
      <c r="D80" s="35">
        <f>IF($C80="","",IFERROR(VLOOKUP($C80,'2_Control_de_Stock'!$A$11:$N$210,2,0),"⚠️ SKU no existe"))</f>
        <v/>
      </c>
      <c r="E80" s="24" t="n"/>
      <c r="F80" s="33">
        <f>IF($C80="","",IFERROR(VLOOKUP($C80,'2_Control_de_Stock'!$A$11:$N$210,11,0),0))</f>
        <v/>
      </c>
      <c r="G80" s="26">
        <f>IF(OR($C80="",$E80=""),"",$E80*$F80)</f>
        <v/>
      </c>
      <c r="H80" s="22" t="n"/>
      <c r="I80" s="33">
        <f>IF($C80="","",IFERROR($E80*VLOOKUP($C80,'2_Control_de_Stock'!$A$11:$N$210,10,0),0))</f>
        <v/>
      </c>
      <c r="J80" s="36">
        <f>IF($G80="","",$G80-$I80)</f>
        <v/>
      </c>
      <c r="K80" s="37">
        <f>IF($C80="","",IFERROR(VLOOKUP($C80,'2_Control_de_Stock'!$A$11:$N$210,3,0),""))</f>
        <v/>
      </c>
    </row>
    <row r="81">
      <c r="A81" s="21" t="n"/>
      <c r="B81" s="22" t="n"/>
      <c r="C81" s="22" t="n"/>
      <c r="D81" s="35">
        <f>IF($C81="","",IFERROR(VLOOKUP($C81,'2_Control_de_Stock'!$A$11:$N$210,2,0),"⚠️ SKU no existe"))</f>
        <v/>
      </c>
      <c r="E81" s="24" t="n"/>
      <c r="F81" s="33">
        <f>IF($C81="","",IFERROR(VLOOKUP($C81,'2_Control_de_Stock'!$A$11:$N$210,11,0),0))</f>
        <v/>
      </c>
      <c r="G81" s="26">
        <f>IF(OR($C81="",$E81=""),"",$E81*$F81)</f>
        <v/>
      </c>
      <c r="H81" s="22" t="n"/>
      <c r="I81" s="33">
        <f>IF($C81="","",IFERROR($E81*VLOOKUP($C81,'2_Control_de_Stock'!$A$11:$N$210,10,0),0))</f>
        <v/>
      </c>
      <c r="J81" s="36">
        <f>IF($G81="","",$G81-$I81)</f>
        <v/>
      </c>
      <c r="K81" s="37">
        <f>IF($C81="","",IFERROR(VLOOKUP($C81,'2_Control_de_Stock'!$A$11:$N$210,3,0),""))</f>
        <v/>
      </c>
    </row>
    <row r="82">
      <c r="A82" s="21" t="n"/>
      <c r="B82" s="22" t="n"/>
      <c r="C82" s="22" t="n"/>
      <c r="D82" s="35">
        <f>IF($C82="","",IFERROR(VLOOKUP($C82,'2_Control_de_Stock'!$A$11:$N$210,2,0),"⚠️ SKU no existe"))</f>
        <v/>
      </c>
      <c r="E82" s="24" t="n"/>
      <c r="F82" s="33">
        <f>IF($C82="","",IFERROR(VLOOKUP($C82,'2_Control_de_Stock'!$A$11:$N$210,11,0),0))</f>
        <v/>
      </c>
      <c r="G82" s="26">
        <f>IF(OR($C82="",$E82=""),"",$E82*$F82)</f>
        <v/>
      </c>
      <c r="H82" s="22" t="n"/>
      <c r="I82" s="33">
        <f>IF($C82="","",IFERROR($E82*VLOOKUP($C82,'2_Control_de_Stock'!$A$11:$N$210,10,0),0))</f>
        <v/>
      </c>
      <c r="J82" s="36">
        <f>IF($G82="","",$G82-$I82)</f>
        <v/>
      </c>
      <c r="K82" s="37">
        <f>IF($C82="","",IFERROR(VLOOKUP($C82,'2_Control_de_Stock'!$A$11:$N$210,3,0),""))</f>
        <v/>
      </c>
    </row>
    <row r="83">
      <c r="A83" s="21" t="n"/>
      <c r="B83" s="22" t="n"/>
      <c r="C83" s="22" t="n"/>
      <c r="D83" s="35">
        <f>IF($C83="","",IFERROR(VLOOKUP($C83,'2_Control_de_Stock'!$A$11:$N$210,2,0),"⚠️ SKU no existe"))</f>
        <v/>
      </c>
      <c r="E83" s="24" t="n"/>
      <c r="F83" s="33">
        <f>IF($C83="","",IFERROR(VLOOKUP($C83,'2_Control_de_Stock'!$A$11:$N$210,11,0),0))</f>
        <v/>
      </c>
      <c r="G83" s="26">
        <f>IF(OR($C83="",$E83=""),"",$E83*$F83)</f>
        <v/>
      </c>
      <c r="H83" s="22" t="n"/>
      <c r="I83" s="33">
        <f>IF($C83="","",IFERROR($E83*VLOOKUP($C83,'2_Control_de_Stock'!$A$11:$N$210,10,0),0))</f>
        <v/>
      </c>
      <c r="J83" s="36">
        <f>IF($G83="","",$G83-$I83)</f>
        <v/>
      </c>
      <c r="K83" s="37">
        <f>IF($C83="","",IFERROR(VLOOKUP($C83,'2_Control_de_Stock'!$A$11:$N$210,3,0),""))</f>
        <v/>
      </c>
    </row>
    <row r="84">
      <c r="A84" s="21" t="n"/>
      <c r="B84" s="22" t="n"/>
      <c r="C84" s="22" t="n"/>
      <c r="D84" s="35">
        <f>IF($C84="","",IFERROR(VLOOKUP($C84,'2_Control_de_Stock'!$A$11:$N$210,2,0),"⚠️ SKU no existe"))</f>
        <v/>
      </c>
      <c r="E84" s="24" t="n"/>
      <c r="F84" s="33">
        <f>IF($C84="","",IFERROR(VLOOKUP($C84,'2_Control_de_Stock'!$A$11:$N$210,11,0),0))</f>
        <v/>
      </c>
      <c r="G84" s="26">
        <f>IF(OR($C84="",$E84=""),"",$E84*$F84)</f>
        <v/>
      </c>
      <c r="H84" s="22" t="n"/>
      <c r="I84" s="33">
        <f>IF($C84="","",IFERROR($E84*VLOOKUP($C84,'2_Control_de_Stock'!$A$11:$N$210,10,0),0))</f>
        <v/>
      </c>
      <c r="J84" s="36">
        <f>IF($G84="","",$G84-$I84)</f>
        <v/>
      </c>
      <c r="K84" s="37">
        <f>IF($C84="","",IFERROR(VLOOKUP($C84,'2_Control_de_Stock'!$A$11:$N$210,3,0),""))</f>
        <v/>
      </c>
    </row>
    <row r="85">
      <c r="A85" s="21" t="n"/>
      <c r="B85" s="22" t="n"/>
      <c r="C85" s="22" t="n"/>
      <c r="D85" s="35">
        <f>IF($C85="","",IFERROR(VLOOKUP($C85,'2_Control_de_Stock'!$A$11:$N$210,2,0),"⚠️ SKU no existe"))</f>
        <v/>
      </c>
      <c r="E85" s="24" t="n"/>
      <c r="F85" s="33">
        <f>IF($C85="","",IFERROR(VLOOKUP($C85,'2_Control_de_Stock'!$A$11:$N$210,11,0),0))</f>
        <v/>
      </c>
      <c r="G85" s="26">
        <f>IF(OR($C85="",$E85=""),"",$E85*$F85)</f>
        <v/>
      </c>
      <c r="H85" s="22" t="n"/>
      <c r="I85" s="33">
        <f>IF($C85="","",IFERROR($E85*VLOOKUP($C85,'2_Control_de_Stock'!$A$11:$N$210,10,0),0))</f>
        <v/>
      </c>
      <c r="J85" s="36">
        <f>IF($G85="","",$G85-$I85)</f>
        <v/>
      </c>
      <c r="K85" s="37">
        <f>IF($C85="","",IFERROR(VLOOKUP($C85,'2_Control_de_Stock'!$A$11:$N$210,3,0),""))</f>
        <v/>
      </c>
    </row>
    <row r="86">
      <c r="A86" s="21" t="n"/>
      <c r="B86" s="22" t="n"/>
      <c r="C86" s="22" t="n"/>
      <c r="D86" s="35">
        <f>IF($C86="","",IFERROR(VLOOKUP($C86,'2_Control_de_Stock'!$A$11:$N$210,2,0),"⚠️ SKU no existe"))</f>
        <v/>
      </c>
      <c r="E86" s="24" t="n"/>
      <c r="F86" s="33">
        <f>IF($C86="","",IFERROR(VLOOKUP($C86,'2_Control_de_Stock'!$A$11:$N$210,11,0),0))</f>
        <v/>
      </c>
      <c r="G86" s="26">
        <f>IF(OR($C86="",$E86=""),"",$E86*$F86)</f>
        <v/>
      </c>
      <c r="H86" s="22" t="n"/>
      <c r="I86" s="33">
        <f>IF($C86="","",IFERROR($E86*VLOOKUP($C86,'2_Control_de_Stock'!$A$11:$N$210,10,0),0))</f>
        <v/>
      </c>
      <c r="J86" s="36">
        <f>IF($G86="","",$G86-$I86)</f>
        <v/>
      </c>
      <c r="K86" s="37">
        <f>IF($C86="","",IFERROR(VLOOKUP($C86,'2_Control_de_Stock'!$A$11:$N$210,3,0),""))</f>
        <v/>
      </c>
    </row>
    <row r="87">
      <c r="A87" s="21" t="n"/>
      <c r="B87" s="22" t="n"/>
      <c r="C87" s="22" t="n"/>
      <c r="D87" s="35">
        <f>IF($C87="","",IFERROR(VLOOKUP($C87,'2_Control_de_Stock'!$A$11:$N$210,2,0),"⚠️ SKU no existe"))</f>
        <v/>
      </c>
      <c r="E87" s="24" t="n"/>
      <c r="F87" s="33">
        <f>IF($C87="","",IFERROR(VLOOKUP($C87,'2_Control_de_Stock'!$A$11:$N$210,11,0),0))</f>
        <v/>
      </c>
      <c r="G87" s="26">
        <f>IF(OR($C87="",$E87=""),"",$E87*$F87)</f>
        <v/>
      </c>
      <c r="H87" s="22" t="n"/>
      <c r="I87" s="33">
        <f>IF($C87="","",IFERROR($E87*VLOOKUP($C87,'2_Control_de_Stock'!$A$11:$N$210,10,0),0))</f>
        <v/>
      </c>
      <c r="J87" s="36">
        <f>IF($G87="","",$G87-$I87)</f>
        <v/>
      </c>
      <c r="K87" s="37">
        <f>IF($C87="","",IFERROR(VLOOKUP($C87,'2_Control_de_Stock'!$A$11:$N$210,3,0),""))</f>
        <v/>
      </c>
    </row>
    <row r="88">
      <c r="A88" s="21" t="n"/>
      <c r="B88" s="22" t="n"/>
      <c r="C88" s="22" t="n"/>
      <c r="D88" s="35">
        <f>IF($C88="","",IFERROR(VLOOKUP($C88,'2_Control_de_Stock'!$A$11:$N$210,2,0),"⚠️ SKU no existe"))</f>
        <v/>
      </c>
      <c r="E88" s="24" t="n"/>
      <c r="F88" s="33">
        <f>IF($C88="","",IFERROR(VLOOKUP($C88,'2_Control_de_Stock'!$A$11:$N$210,11,0),0))</f>
        <v/>
      </c>
      <c r="G88" s="26">
        <f>IF(OR($C88="",$E88=""),"",$E88*$F88)</f>
        <v/>
      </c>
      <c r="H88" s="22" t="n"/>
      <c r="I88" s="33">
        <f>IF($C88="","",IFERROR($E88*VLOOKUP($C88,'2_Control_de_Stock'!$A$11:$N$210,10,0),0))</f>
        <v/>
      </c>
      <c r="J88" s="36">
        <f>IF($G88="","",$G88-$I88)</f>
        <v/>
      </c>
      <c r="K88" s="37">
        <f>IF($C88="","",IFERROR(VLOOKUP($C88,'2_Control_de_Stock'!$A$11:$N$210,3,0),""))</f>
        <v/>
      </c>
    </row>
    <row r="89">
      <c r="A89" s="21" t="n"/>
      <c r="B89" s="22" t="n"/>
      <c r="C89" s="22" t="n"/>
      <c r="D89" s="35">
        <f>IF($C89="","",IFERROR(VLOOKUP($C89,'2_Control_de_Stock'!$A$11:$N$210,2,0),"⚠️ SKU no existe"))</f>
        <v/>
      </c>
      <c r="E89" s="24" t="n"/>
      <c r="F89" s="33">
        <f>IF($C89="","",IFERROR(VLOOKUP($C89,'2_Control_de_Stock'!$A$11:$N$210,11,0),0))</f>
        <v/>
      </c>
      <c r="G89" s="26">
        <f>IF(OR($C89="",$E89=""),"",$E89*$F89)</f>
        <v/>
      </c>
      <c r="H89" s="22" t="n"/>
      <c r="I89" s="33">
        <f>IF($C89="","",IFERROR($E89*VLOOKUP($C89,'2_Control_de_Stock'!$A$11:$N$210,10,0),0))</f>
        <v/>
      </c>
      <c r="J89" s="36">
        <f>IF($G89="","",$G89-$I89)</f>
        <v/>
      </c>
      <c r="K89" s="37">
        <f>IF($C89="","",IFERROR(VLOOKUP($C89,'2_Control_de_Stock'!$A$11:$N$210,3,0),""))</f>
        <v/>
      </c>
    </row>
    <row r="90">
      <c r="A90" s="21" t="n"/>
      <c r="B90" s="22" t="n"/>
      <c r="C90" s="22" t="n"/>
      <c r="D90" s="35">
        <f>IF($C90="","",IFERROR(VLOOKUP($C90,'2_Control_de_Stock'!$A$11:$N$210,2,0),"⚠️ SKU no existe"))</f>
        <v/>
      </c>
      <c r="E90" s="24" t="n"/>
      <c r="F90" s="33">
        <f>IF($C90="","",IFERROR(VLOOKUP($C90,'2_Control_de_Stock'!$A$11:$N$210,11,0),0))</f>
        <v/>
      </c>
      <c r="G90" s="26">
        <f>IF(OR($C90="",$E90=""),"",$E90*$F90)</f>
        <v/>
      </c>
      <c r="H90" s="22" t="n"/>
      <c r="I90" s="33">
        <f>IF($C90="","",IFERROR($E90*VLOOKUP($C90,'2_Control_de_Stock'!$A$11:$N$210,10,0),0))</f>
        <v/>
      </c>
      <c r="J90" s="36">
        <f>IF($G90="","",$G90-$I90)</f>
        <v/>
      </c>
      <c r="K90" s="37">
        <f>IF($C90="","",IFERROR(VLOOKUP($C90,'2_Control_de_Stock'!$A$11:$N$210,3,0),""))</f>
        <v/>
      </c>
    </row>
    <row r="91">
      <c r="A91" s="21" t="n"/>
      <c r="B91" s="22" t="n"/>
      <c r="C91" s="22" t="n"/>
      <c r="D91" s="35">
        <f>IF($C91="","",IFERROR(VLOOKUP($C91,'2_Control_de_Stock'!$A$11:$N$210,2,0),"⚠️ SKU no existe"))</f>
        <v/>
      </c>
      <c r="E91" s="24" t="n"/>
      <c r="F91" s="33">
        <f>IF($C91="","",IFERROR(VLOOKUP($C91,'2_Control_de_Stock'!$A$11:$N$210,11,0),0))</f>
        <v/>
      </c>
      <c r="G91" s="26">
        <f>IF(OR($C91="",$E91=""),"",$E91*$F91)</f>
        <v/>
      </c>
      <c r="H91" s="22" t="n"/>
      <c r="I91" s="33">
        <f>IF($C91="","",IFERROR($E91*VLOOKUP($C91,'2_Control_de_Stock'!$A$11:$N$210,10,0),0))</f>
        <v/>
      </c>
      <c r="J91" s="36">
        <f>IF($G91="","",$G91-$I91)</f>
        <v/>
      </c>
      <c r="K91" s="37">
        <f>IF($C91="","",IFERROR(VLOOKUP($C91,'2_Control_de_Stock'!$A$11:$N$210,3,0),""))</f>
        <v/>
      </c>
    </row>
    <row r="92">
      <c r="A92" s="21" t="n"/>
      <c r="B92" s="22" t="n"/>
      <c r="C92" s="22" t="n"/>
      <c r="D92" s="35">
        <f>IF($C92="","",IFERROR(VLOOKUP($C92,'2_Control_de_Stock'!$A$11:$N$210,2,0),"⚠️ SKU no existe"))</f>
        <v/>
      </c>
      <c r="E92" s="24" t="n"/>
      <c r="F92" s="33">
        <f>IF($C92="","",IFERROR(VLOOKUP($C92,'2_Control_de_Stock'!$A$11:$N$210,11,0),0))</f>
        <v/>
      </c>
      <c r="G92" s="26">
        <f>IF(OR($C92="",$E92=""),"",$E92*$F92)</f>
        <v/>
      </c>
      <c r="H92" s="22" t="n"/>
      <c r="I92" s="33">
        <f>IF($C92="","",IFERROR($E92*VLOOKUP($C92,'2_Control_de_Stock'!$A$11:$N$210,10,0),0))</f>
        <v/>
      </c>
      <c r="J92" s="36">
        <f>IF($G92="","",$G92-$I92)</f>
        <v/>
      </c>
      <c r="K92" s="37">
        <f>IF($C92="","",IFERROR(VLOOKUP($C92,'2_Control_de_Stock'!$A$11:$N$210,3,0),""))</f>
        <v/>
      </c>
    </row>
    <row r="93">
      <c r="A93" s="21" t="n"/>
      <c r="B93" s="22" t="n"/>
      <c r="C93" s="22" t="n"/>
      <c r="D93" s="35">
        <f>IF($C93="","",IFERROR(VLOOKUP($C93,'2_Control_de_Stock'!$A$11:$N$210,2,0),"⚠️ SKU no existe"))</f>
        <v/>
      </c>
      <c r="E93" s="24" t="n"/>
      <c r="F93" s="33">
        <f>IF($C93="","",IFERROR(VLOOKUP($C93,'2_Control_de_Stock'!$A$11:$N$210,11,0),0))</f>
        <v/>
      </c>
      <c r="G93" s="26">
        <f>IF(OR($C93="",$E93=""),"",$E93*$F93)</f>
        <v/>
      </c>
      <c r="H93" s="22" t="n"/>
      <c r="I93" s="33">
        <f>IF($C93="","",IFERROR($E93*VLOOKUP($C93,'2_Control_de_Stock'!$A$11:$N$210,10,0),0))</f>
        <v/>
      </c>
      <c r="J93" s="36">
        <f>IF($G93="","",$G93-$I93)</f>
        <v/>
      </c>
      <c r="K93" s="37">
        <f>IF($C93="","",IFERROR(VLOOKUP($C93,'2_Control_de_Stock'!$A$11:$N$210,3,0),""))</f>
        <v/>
      </c>
    </row>
    <row r="94">
      <c r="A94" s="21" t="n"/>
      <c r="B94" s="22" t="n"/>
      <c r="C94" s="22" t="n"/>
      <c r="D94" s="35">
        <f>IF($C94="","",IFERROR(VLOOKUP($C94,'2_Control_de_Stock'!$A$11:$N$210,2,0),"⚠️ SKU no existe"))</f>
        <v/>
      </c>
      <c r="E94" s="24" t="n"/>
      <c r="F94" s="33">
        <f>IF($C94="","",IFERROR(VLOOKUP($C94,'2_Control_de_Stock'!$A$11:$N$210,11,0),0))</f>
        <v/>
      </c>
      <c r="G94" s="26">
        <f>IF(OR($C94="",$E94=""),"",$E94*$F94)</f>
        <v/>
      </c>
      <c r="H94" s="22" t="n"/>
      <c r="I94" s="33">
        <f>IF($C94="","",IFERROR($E94*VLOOKUP($C94,'2_Control_de_Stock'!$A$11:$N$210,10,0),0))</f>
        <v/>
      </c>
      <c r="J94" s="36">
        <f>IF($G94="","",$G94-$I94)</f>
        <v/>
      </c>
      <c r="K94" s="37">
        <f>IF($C94="","",IFERROR(VLOOKUP($C94,'2_Control_de_Stock'!$A$11:$N$210,3,0),""))</f>
        <v/>
      </c>
    </row>
    <row r="95">
      <c r="A95" s="21" t="n"/>
      <c r="B95" s="22" t="n"/>
      <c r="C95" s="22" t="n"/>
      <c r="D95" s="35">
        <f>IF($C95="","",IFERROR(VLOOKUP($C95,'2_Control_de_Stock'!$A$11:$N$210,2,0),"⚠️ SKU no existe"))</f>
        <v/>
      </c>
      <c r="E95" s="24" t="n"/>
      <c r="F95" s="33">
        <f>IF($C95="","",IFERROR(VLOOKUP($C95,'2_Control_de_Stock'!$A$11:$N$210,11,0),0))</f>
        <v/>
      </c>
      <c r="G95" s="26">
        <f>IF(OR($C95="",$E95=""),"",$E95*$F95)</f>
        <v/>
      </c>
      <c r="H95" s="22" t="n"/>
      <c r="I95" s="33">
        <f>IF($C95="","",IFERROR($E95*VLOOKUP($C95,'2_Control_de_Stock'!$A$11:$N$210,10,0),0))</f>
        <v/>
      </c>
      <c r="J95" s="36">
        <f>IF($G95="","",$G95-$I95)</f>
        <v/>
      </c>
      <c r="K95" s="37">
        <f>IF($C95="","",IFERROR(VLOOKUP($C95,'2_Control_de_Stock'!$A$11:$N$210,3,0),""))</f>
        <v/>
      </c>
    </row>
    <row r="96">
      <c r="A96" s="21" t="n"/>
      <c r="B96" s="22" t="n"/>
      <c r="C96" s="22" t="n"/>
      <c r="D96" s="35">
        <f>IF($C96="","",IFERROR(VLOOKUP($C96,'2_Control_de_Stock'!$A$11:$N$210,2,0),"⚠️ SKU no existe"))</f>
        <v/>
      </c>
      <c r="E96" s="24" t="n"/>
      <c r="F96" s="33">
        <f>IF($C96="","",IFERROR(VLOOKUP($C96,'2_Control_de_Stock'!$A$11:$N$210,11,0),0))</f>
        <v/>
      </c>
      <c r="G96" s="26">
        <f>IF(OR($C96="",$E96=""),"",$E96*$F96)</f>
        <v/>
      </c>
      <c r="H96" s="22" t="n"/>
      <c r="I96" s="33">
        <f>IF($C96="","",IFERROR($E96*VLOOKUP($C96,'2_Control_de_Stock'!$A$11:$N$210,10,0),0))</f>
        <v/>
      </c>
      <c r="J96" s="36">
        <f>IF($G96="","",$G96-$I96)</f>
        <v/>
      </c>
      <c r="K96" s="37">
        <f>IF($C96="","",IFERROR(VLOOKUP($C96,'2_Control_de_Stock'!$A$11:$N$210,3,0),""))</f>
        <v/>
      </c>
    </row>
    <row r="97">
      <c r="A97" s="21" t="n"/>
      <c r="B97" s="22" t="n"/>
      <c r="C97" s="22" t="n"/>
      <c r="D97" s="35">
        <f>IF($C97="","",IFERROR(VLOOKUP($C97,'2_Control_de_Stock'!$A$11:$N$210,2,0),"⚠️ SKU no existe"))</f>
        <v/>
      </c>
      <c r="E97" s="24" t="n"/>
      <c r="F97" s="33">
        <f>IF($C97="","",IFERROR(VLOOKUP($C97,'2_Control_de_Stock'!$A$11:$N$210,11,0),0))</f>
        <v/>
      </c>
      <c r="G97" s="26">
        <f>IF(OR($C97="",$E97=""),"",$E97*$F97)</f>
        <v/>
      </c>
      <c r="H97" s="22" t="n"/>
      <c r="I97" s="33">
        <f>IF($C97="","",IFERROR($E97*VLOOKUP($C97,'2_Control_de_Stock'!$A$11:$N$210,10,0),0))</f>
        <v/>
      </c>
      <c r="J97" s="36">
        <f>IF($G97="","",$G97-$I97)</f>
        <v/>
      </c>
      <c r="K97" s="37">
        <f>IF($C97="","",IFERROR(VLOOKUP($C97,'2_Control_de_Stock'!$A$11:$N$210,3,0),""))</f>
        <v/>
      </c>
    </row>
    <row r="98">
      <c r="A98" s="21" t="n"/>
      <c r="B98" s="22" t="n"/>
      <c r="C98" s="22" t="n"/>
      <c r="D98" s="35">
        <f>IF($C98="","",IFERROR(VLOOKUP($C98,'2_Control_de_Stock'!$A$11:$N$210,2,0),"⚠️ SKU no existe"))</f>
        <v/>
      </c>
      <c r="E98" s="24" t="n"/>
      <c r="F98" s="33">
        <f>IF($C98="","",IFERROR(VLOOKUP($C98,'2_Control_de_Stock'!$A$11:$N$210,11,0),0))</f>
        <v/>
      </c>
      <c r="G98" s="26">
        <f>IF(OR($C98="",$E98=""),"",$E98*$F98)</f>
        <v/>
      </c>
      <c r="H98" s="22" t="n"/>
      <c r="I98" s="33">
        <f>IF($C98="","",IFERROR($E98*VLOOKUP($C98,'2_Control_de_Stock'!$A$11:$N$210,10,0),0))</f>
        <v/>
      </c>
      <c r="J98" s="36">
        <f>IF($G98="","",$G98-$I98)</f>
        <v/>
      </c>
      <c r="K98" s="37">
        <f>IF($C98="","",IFERROR(VLOOKUP($C98,'2_Control_de_Stock'!$A$11:$N$210,3,0),""))</f>
        <v/>
      </c>
    </row>
    <row r="99">
      <c r="A99" s="21" t="n"/>
      <c r="B99" s="22" t="n"/>
      <c r="C99" s="22" t="n"/>
      <c r="D99" s="35">
        <f>IF($C99="","",IFERROR(VLOOKUP($C99,'2_Control_de_Stock'!$A$11:$N$210,2,0),"⚠️ SKU no existe"))</f>
        <v/>
      </c>
      <c r="E99" s="24" t="n"/>
      <c r="F99" s="33">
        <f>IF($C99="","",IFERROR(VLOOKUP($C99,'2_Control_de_Stock'!$A$11:$N$210,11,0),0))</f>
        <v/>
      </c>
      <c r="G99" s="26">
        <f>IF(OR($C99="",$E99=""),"",$E99*$F99)</f>
        <v/>
      </c>
      <c r="H99" s="22" t="n"/>
      <c r="I99" s="33">
        <f>IF($C99="","",IFERROR($E99*VLOOKUP($C99,'2_Control_de_Stock'!$A$11:$N$210,10,0),0))</f>
        <v/>
      </c>
      <c r="J99" s="36">
        <f>IF($G99="","",$G99-$I99)</f>
        <v/>
      </c>
      <c r="K99" s="37">
        <f>IF($C99="","",IFERROR(VLOOKUP($C99,'2_Control_de_Stock'!$A$11:$N$210,3,0),""))</f>
        <v/>
      </c>
    </row>
    <row r="100">
      <c r="A100" s="21" t="n"/>
      <c r="B100" s="22" t="n"/>
      <c r="C100" s="22" t="n"/>
      <c r="D100" s="35">
        <f>IF($C100="","",IFERROR(VLOOKUP($C100,'2_Control_de_Stock'!$A$11:$N$210,2,0),"⚠️ SKU no existe"))</f>
        <v/>
      </c>
      <c r="E100" s="24" t="n"/>
      <c r="F100" s="33">
        <f>IF($C100="","",IFERROR(VLOOKUP($C100,'2_Control_de_Stock'!$A$11:$N$210,11,0),0))</f>
        <v/>
      </c>
      <c r="G100" s="26">
        <f>IF(OR($C100="",$E100=""),"",$E100*$F100)</f>
        <v/>
      </c>
      <c r="H100" s="22" t="n"/>
      <c r="I100" s="33">
        <f>IF($C100="","",IFERROR($E100*VLOOKUP($C100,'2_Control_de_Stock'!$A$11:$N$210,10,0),0))</f>
        <v/>
      </c>
      <c r="J100" s="36">
        <f>IF($G100="","",$G100-$I100)</f>
        <v/>
      </c>
      <c r="K100" s="37">
        <f>IF($C100="","",IFERROR(VLOOKUP($C100,'2_Control_de_Stock'!$A$11:$N$210,3,0),""))</f>
        <v/>
      </c>
    </row>
    <row r="101">
      <c r="A101" s="21" t="n"/>
      <c r="B101" s="22" t="n"/>
      <c r="C101" s="22" t="n"/>
      <c r="D101" s="35">
        <f>IF($C101="","",IFERROR(VLOOKUP($C101,'2_Control_de_Stock'!$A$11:$N$210,2,0),"⚠️ SKU no existe"))</f>
        <v/>
      </c>
      <c r="E101" s="24" t="n"/>
      <c r="F101" s="33">
        <f>IF($C101="","",IFERROR(VLOOKUP($C101,'2_Control_de_Stock'!$A$11:$N$210,11,0),0))</f>
        <v/>
      </c>
      <c r="G101" s="26">
        <f>IF(OR($C101="",$E101=""),"",$E101*$F101)</f>
        <v/>
      </c>
      <c r="H101" s="22" t="n"/>
      <c r="I101" s="33">
        <f>IF($C101="","",IFERROR($E101*VLOOKUP($C101,'2_Control_de_Stock'!$A$11:$N$210,10,0),0))</f>
        <v/>
      </c>
      <c r="J101" s="36">
        <f>IF($G101="","",$G101-$I101)</f>
        <v/>
      </c>
      <c r="K101" s="37">
        <f>IF($C101="","",IFERROR(VLOOKUP($C101,'2_Control_de_Stock'!$A$11:$N$210,3,0),""))</f>
        <v/>
      </c>
    </row>
    <row r="102">
      <c r="A102" s="21" t="n"/>
      <c r="B102" s="22" t="n"/>
      <c r="C102" s="22" t="n"/>
      <c r="D102" s="35">
        <f>IF($C102="","",IFERROR(VLOOKUP($C102,'2_Control_de_Stock'!$A$11:$N$210,2,0),"⚠️ SKU no existe"))</f>
        <v/>
      </c>
      <c r="E102" s="24" t="n"/>
      <c r="F102" s="33">
        <f>IF($C102="","",IFERROR(VLOOKUP($C102,'2_Control_de_Stock'!$A$11:$N$210,11,0),0))</f>
        <v/>
      </c>
      <c r="G102" s="26">
        <f>IF(OR($C102="",$E102=""),"",$E102*$F102)</f>
        <v/>
      </c>
      <c r="H102" s="22" t="n"/>
      <c r="I102" s="33">
        <f>IF($C102="","",IFERROR($E102*VLOOKUP($C102,'2_Control_de_Stock'!$A$11:$N$210,10,0),0))</f>
        <v/>
      </c>
      <c r="J102" s="36">
        <f>IF($G102="","",$G102-$I102)</f>
        <v/>
      </c>
      <c r="K102" s="37">
        <f>IF($C102="","",IFERROR(VLOOKUP($C102,'2_Control_de_Stock'!$A$11:$N$210,3,0),""))</f>
        <v/>
      </c>
    </row>
    <row r="103">
      <c r="A103" s="21" t="n"/>
      <c r="B103" s="22" t="n"/>
      <c r="C103" s="22" t="n"/>
      <c r="D103" s="35">
        <f>IF($C103="","",IFERROR(VLOOKUP($C103,'2_Control_de_Stock'!$A$11:$N$210,2,0),"⚠️ SKU no existe"))</f>
        <v/>
      </c>
      <c r="E103" s="24" t="n"/>
      <c r="F103" s="33">
        <f>IF($C103="","",IFERROR(VLOOKUP($C103,'2_Control_de_Stock'!$A$11:$N$210,11,0),0))</f>
        <v/>
      </c>
      <c r="G103" s="26">
        <f>IF(OR($C103="",$E103=""),"",$E103*$F103)</f>
        <v/>
      </c>
      <c r="H103" s="22" t="n"/>
      <c r="I103" s="33">
        <f>IF($C103="","",IFERROR($E103*VLOOKUP($C103,'2_Control_de_Stock'!$A$11:$N$210,10,0),0))</f>
        <v/>
      </c>
      <c r="J103" s="36">
        <f>IF($G103="","",$G103-$I103)</f>
        <v/>
      </c>
      <c r="K103" s="37">
        <f>IF($C103="","",IFERROR(VLOOKUP($C103,'2_Control_de_Stock'!$A$11:$N$210,3,0),""))</f>
        <v/>
      </c>
    </row>
    <row r="104">
      <c r="A104" s="21" t="n"/>
      <c r="B104" s="22" t="n"/>
      <c r="C104" s="22" t="n"/>
      <c r="D104" s="35">
        <f>IF($C104="","",IFERROR(VLOOKUP($C104,'2_Control_de_Stock'!$A$11:$N$210,2,0),"⚠️ SKU no existe"))</f>
        <v/>
      </c>
      <c r="E104" s="24" t="n"/>
      <c r="F104" s="33">
        <f>IF($C104="","",IFERROR(VLOOKUP($C104,'2_Control_de_Stock'!$A$11:$N$210,11,0),0))</f>
        <v/>
      </c>
      <c r="G104" s="26">
        <f>IF(OR($C104="",$E104=""),"",$E104*$F104)</f>
        <v/>
      </c>
      <c r="H104" s="22" t="n"/>
      <c r="I104" s="33">
        <f>IF($C104="","",IFERROR($E104*VLOOKUP($C104,'2_Control_de_Stock'!$A$11:$N$210,10,0),0))</f>
        <v/>
      </c>
      <c r="J104" s="36">
        <f>IF($G104="","",$G104-$I104)</f>
        <v/>
      </c>
      <c r="K104" s="37">
        <f>IF($C104="","",IFERROR(VLOOKUP($C104,'2_Control_de_Stock'!$A$11:$N$210,3,0),""))</f>
        <v/>
      </c>
    </row>
    <row r="105">
      <c r="A105" s="21" t="n"/>
      <c r="B105" s="22" t="n"/>
      <c r="C105" s="22" t="n"/>
      <c r="D105" s="35">
        <f>IF($C105="","",IFERROR(VLOOKUP($C105,'2_Control_de_Stock'!$A$11:$N$210,2,0),"⚠️ SKU no existe"))</f>
        <v/>
      </c>
      <c r="E105" s="24" t="n"/>
      <c r="F105" s="33">
        <f>IF($C105="","",IFERROR(VLOOKUP($C105,'2_Control_de_Stock'!$A$11:$N$210,11,0),0))</f>
        <v/>
      </c>
      <c r="G105" s="26">
        <f>IF(OR($C105="",$E105=""),"",$E105*$F105)</f>
        <v/>
      </c>
      <c r="H105" s="22" t="n"/>
      <c r="I105" s="33">
        <f>IF($C105="","",IFERROR($E105*VLOOKUP($C105,'2_Control_de_Stock'!$A$11:$N$210,10,0),0))</f>
        <v/>
      </c>
      <c r="J105" s="36">
        <f>IF($G105="","",$G105-$I105)</f>
        <v/>
      </c>
      <c r="K105" s="37">
        <f>IF($C105="","",IFERROR(VLOOKUP($C105,'2_Control_de_Stock'!$A$11:$N$210,3,0),""))</f>
        <v/>
      </c>
    </row>
    <row r="106">
      <c r="A106" s="21" t="n"/>
      <c r="B106" s="22" t="n"/>
      <c r="C106" s="22" t="n"/>
      <c r="D106" s="35">
        <f>IF($C106="","",IFERROR(VLOOKUP($C106,'2_Control_de_Stock'!$A$11:$N$210,2,0),"⚠️ SKU no existe"))</f>
        <v/>
      </c>
      <c r="E106" s="24" t="n"/>
      <c r="F106" s="33">
        <f>IF($C106="","",IFERROR(VLOOKUP($C106,'2_Control_de_Stock'!$A$11:$N$210,11,0),0))</f>
        <v/>
      </c>
      <c r="G106" s="26">
        <f>IF(OR($C106="",$E106=""),"",$E106*$F106)</f>
        <v/>
      </c>
      <c r="H106" s="22" t="n"/>
      <c r="I106" s="33">
        <f>IF($C106="","",IFERROR($E106*VLOOKUP($C106,'2_Control_de_Stock'!$A$11:$N$210,10,0),0))</f>
        <v/>
      </c>
      <c r="J106" s="36">
        <f>IF($G106="","",$G106-$I106)</f>
        <v/>
      </c>
      <c r="K106" s="37">
        <f>IF($C106="","",IFERROR(VLOOKUP($C106,'2_Control_de_Stock'!$A$11:$N$210,3,0),""))</f>
        <v/>
      </c>
    </row>
    <row r="107">
      <c r="A107" s="21" t="n"/>
      <c r="B107" s="22" t="n"/>
      <c r="C107" s="22" t="n"/>
      <c r="D107" s="35">
        <f>IF($C107="","",IFERROR(VLOOKUP($C107,'2_Control_de_Stock'!$A$11:$N$210,2,0),"⚠️ SKU no existe"))</f>
        <v/>
      </c>
      <c r="E107" s="24" t="n"/>
      <c r="F107" s="33">
        <f>IF($C107="","",IFERROR(VLOOKUP($C107,'2_Control_de_Stock'!$A$11:$N$210,11,0),0))</f>
        <v/>
      </c>
      <c r="G107" s="26">
        <f>IF(OR($C107="",$E107=""),"",$E107*$F107)</f>
        <v/>
      </c>
      <c r="H107" s="22" t="n"/>
      <c r="I107" s="33">
        <f>IF($C107="","",IFERROR($E107*VLOOKUP($C107,'2_Control_de_Stock'!$A$11:$N$210,10,0),0))</f>
        <v/>
      </c>
      <c r="J107" s="36">
        <f>IF($G107="","",$G107-$I107)</f>
        <v/>
      </c>
      <c r="K107" s="37">
        <f>IF($C107="","",IFERROR(VLOOKUP($C107,'2_Control_de_Stock'!$A$11:$N$210,3,0),""))</f>
        <v/>
      </c>
    </row>
    <row r="108">
      <c r="A108" s="21" t="n"/>
      <c r="B108" s="22" t="n"/>
      <c r="C108" s="22" t="n"/>
      <c r="D108" s="35">
        <f>IF($C108="","",IFERROR(VLOOKUP($C108,'2_Control_de_Stock'!$A$11:$N$210,2,0),"⚠️ SKU no existe"))</f>
        <v/>
      </c>
      <c r="E108" s="24" t="n"/>
      <c r="F108" s="33">
        <f>IF($C108="","",IFERROR(VLOOKUP($C108,'2_Control_de_Stock'!$A$11:$N$210,11,0),0))</f>
        <v/>
      </c>
      <c r="G108" s="26">
        <f>IF(OR($C108="",$E108=""),"",$E108*$F108)</f>
        <v/>
      </c>
      <c r="H108" s="22" t="n"/>
      <c r="I108" s="33">
        <f>IF($C108="","",IFERROR($E108*VLOOKUP($C108,'2_Control_de_Stock'!$A$11:$N$210,10,0),0))</f>
        <v/>
      </c>
      <c r="J108" s="36">
        <f>IF($G108="","",$G108-$I108)</f>
        <v/>
      </c>
      <c r="K108" s="37">
        <f>IF($C108="","",IFERROR(VLOOKUP($C108,'2_Control_de_Stock'!$A$11:$N$210,3,0),""))</f>
        <v/>
      </c>
    </row>
    <row r="109">
      <c r="A109" s="21" t="n"/>
      <c r="B109" s="22" t="n"/>
      <c r="C109" s="22" t="n"/>
      <c r="D109" s="35">
        <f>IF($C109="","",IFERROR(VLOOKUP($C109,'2_Control_de_Stock'!$A$11:$N$210,2,0),"⚠️ SKU no existe"))</f>
        <v/>
      </c>
      <c r="E109" s="24" t="n"/>
      <c r="F109" s="33">
        <f>IF($C109="","",IFERROR(VLOOKUP($C109,'2_Control_de_Stock'!$A$11:$N$210,11,0),0))</f>
        <v/>
      </c>
      <c r="G109" s="26">
        <f>IF(OR($C109="",$E109=""),"",$E109*$F109)</f>
        <v/>
      </c>
      <c r="H109" s="22" t="n"/>
      <c r="I109" s="33">
        <f>IF($C109="","",IFERROR($E109*VLOOKUP($C109,'2_Control_de_Stock'!$A$11:$N$210,10,0),0))</f>
        <v/>
      </c>
      <c r="J109" s="36">
        <f>IF($G109="","",$G109-$I109)</f>
        <v/>
      </c>
      <c r="K109" s="37">
        <f>IF($C109="","",IFERROR(VLOOKUP($C109,'2_Control_de_Stock'!$A$11:$N$210,3,0),""))</f>
        <v/>
      </c>
    </row>
    <row r="110">
      <c r="A110" s="21" t="n"/>
      <c r="B110" s="22" t="n"/>
      <c r="C110" s="22" t="n"/>
      <c r="D110" s="35">
        <f>IF($C110="","",IFERROR(VLOOKUP($C110,'2_Control_de_Stock'!$A$11:$N$210,2,0),"⚠️ SKU no existe"))</f>
        <v/>
      </c>
      <c r="E110" s="24" t="n"/>
      <c r="F110" s="33">
        <f>IF($C110="","",IFERROR(VLOOKUP($C110,'2_Control_de_Stock'!$A$11:$N$210,11,0),0))</f>
        <v/>
      </c>
      <c r="G110" s="26">
        <f>IF(OR($C110="",$E110=""),"",$E110*$F110)</f>
        <v/>
      </c>
      <c r="H110" s="22" t="n"/>
      <c r="I110" s="33">
        <f>IF($C110="","",IFERROR($E110*VLOOKUP($C110,'2_Control_de_Stock'!$A$11:$N$210,10,0),0))</f>
        <v/>
      </c>
      <c r="J110" s="36">
        <f>IF($G110="","",$G110-$I110)</f>
        <v/>
      </c>
      <c r="K110" s="37">
        <f>IF($C110="","",IFERROR(VLOOKUP($C110,'2_Control_de_Stock'!$A$11:$N$210,3,0),""))</f>
        <v/>
      </c>
    </row>
    <row r="111">
      <c r="A111" s="21" t="n"/>
      <c r="B111" s="22" t="n"/>
      <c r="C111" s="22" t="n"/>
      <c r="D111" s="35">
        <f>IF($C111="","",IFERROR(VLOOKUP($C111,'2_Control_de_Stock'!$A$11:$N$210,2,0),"⚠️ SKU no existe"))</f>
        <v/>
      </c>
      <c r="E111" s="24" t="n"/>
      <c r="F111" s="33">
        <f>IF($C111="","",IFERROR(VLOOKUP($C111,'2_Control_de_Stock'!$A$11:$N$210,11,0),0))</f>
        <v/>
      </c>
      <c r="G111" s="26">
        <f>IF(OR($C111="",$E111=""),"",$E111*$F111)</f>
        <v/>
      </c>
      <c r="H111" s="22" t="n"/>
      <c r="I111" s="33">
        <f>IF($C111="","",IFERROR($E111*VLOOKUP($C111,'2_Control_de_Stock'!$A$11:$N$210,10,0),0))</f>
        <v/>
      </c>
      <c r="J111" s="36">
        <f>IF($G111="","",$G111-$I111)</f>
        <v/>
      </c>
      <c r="K111" s="37">
        <f>IF($C111="","",IFERROR(VLOOKUP($C111,'2_Control_de_Stock'!$A$11:$N$210,3,0),""))</f>
        <v/>
      </c>
    </row>
    <row r="112">
      <c r="A112" s="21" t="n"/>
      <c r="B112" s="22" t="n"/>
      <c r="C112" s="22" t="n"/>
      <c r="D112" s="35">
        <f>IF($C112="","",IFERROR(VLOOKUP($C112,'2_Control_de_Stock'!$A$11:$N$210,2,0),"⚠️ SKU no existe"))</f>
        <v/>
      </c>
      <c r="E112" s="24" t="n"/>
      <c r="F112" s="33">
        <f>IF($C112="","",IFERROR(VLOOKUP($C112,'2_Control_de_Stock'!$A$11:$N$210,11,0),0))</f>
        <v/>
      </c>
      <c r="G112" s="26">
        <f>IF(OR($C112="",$E112=""),"",$E112*$F112)</f>
        <v/>
      </c>
      <c r="H112" s="22" t="n"/>
      <c r="I112" s="33">
        <f>IF($C112="","",IFERROR($E112*VLOOKUP($C112,'2_Control_de_Stock'!$A$11:$N$210,10,0),0))</f>
        <v/>
      </c>
      <c r="J112" s="36">
        <f>IF($G112="","",$G112-$I112)</f>
        <v/>
      </c>
      <c r="K112" s="37">
        <f>IF($C112="","",IFERROR(VLOOKUP($C112,'2_Control_de_Stock'!$A$11:$N$210,3,0),""))</f>
        <v/>
      </c>
    </row>
    <row r="113">
      <c r="A113" s="21" t="n"/>
      <c r="B113" s="22" t="n"/>
      <c r="C113" s="22" t="n"/>
      <c r="D113" s="35">
        <f>IF($C113="","",IFERROR(VLOOKUP($C113,'2_Control_de_Stock'!$A$11:$N$210,2,0),"⚠️ SKU no existe"))</f>
        <v/>
      </c>
      <c r="E113" s="24" t="n"/>
      <c r="F113" s="33">
        <f>IF($C113="","",IFERROR(VLOOKUP($C113,'2_Control_de_Stock'!$A$11:$N$210,11,0),0))</f>
        <v/>
      </c>
      <c r="G113" s="26">
        <f>IF(OR($C113="",$E113=""),"",$E113*$F113)</f>
        <v/>
      </c>
      <c r="H113" s="22" t="n"/>
      <c r="I113" s="33">
        <f>IF($C113="","",IFERROR($E113*VLOOKUP($C113,'2_Control_de_Stock'!$A$11:$N$210,10,0),0))</f>
        <v/>
      </c>
      <c r="J113" s="36">
        <f>IF($G113="","",$G113-$I113)</f>
        <v/>
      </c>
      <c r="K113" s="37">
        <f>IF($C113="","",IFERROR(VLOOKUP($C113,'2_Control_de_Stock'!$A$11:$N$210,3,0),""))</f>
        <v/>
      </c>
    </row>
    <row r="114">
      <c r="A114" s="21" t="n"/>
      <c r="B114" s="22" t="n"/>
      <c r="C114" s="22" t="n"/>
      <c r="D114" s="35">
        <f>IF($C114="","",IFERROR(VLOOKUP($C114,'2_Control_de_Stock'!$A$11:$N$210,2,0),"⚠️ SKU no existe"))</f>
        <v/>
      </c>
      <c r="E114" s="24" t="n"/>
      <c r="F114" s="33">
        <f>IF($C114="","",IFERROR(VLOOKUP($C114,'2_Control_de_Stock'!$A$11:$N$210,11,0),0))</f>
        <v/>
      </c>
      <c r="G114" s="26">
        <f>IF(OR($C114="",$E114=""),"",$E114*$F114)</f>
        <v/>
      </c>
      <c r="H114" s="22" t="n"/>
      <c r="I114" s="33">
        <f>IF($C114="","",IFERROR($E114*VLOOKUP($C114,'2_Control_de_Stock'!$A$11:$N$210,10,0),0))</f>
        <v/>
      </c>
      <c r="J114" s="36">
        <f>IF($G114="","",$G114-$I114)</f>
        <v/>
      </c>
      <c r="K114" s="37">
        <f>IF($C114="","",IFERROR(VLOOKUP($C114,'2_Control_de_Stock'!$A$11:$N$210,3,0),""))</f>
        <v/>
      </c>
    </row>
    <row r="115">
      <c r="A115" s="21" t="n"/>
      <c r="B115" s="22" t="n"/>
      <c r="C115" s="22" t="n"/>
      <c r="D115" s="35">
        <f>IF($C115="","",IFERROR(VLOOKUP($C115,'2_Control_de_Stock'!$A$11:$N$210,2,0),"⚠️ SKU no existe"))</f>
        <v/>
      </c>
      <c r="E115" s="24" t="n"/>
      <c r="F115" s="33">
        <f>IF($C115="","",IFERROR(VLOOKUP($C115,'2_Control_de_Stock'!$A$11:$N$210,11,0),0))</f>
        <v/>
      </c>
      <c r="G115" s="26">
        <f>IF(OR($C115="",$E115=""),"",$E115*$F115)</f>
        <v/>
      </c>
      <c r="H115" s="22" t="n"/>
      <c r="I115" s="33">
        <f>IF($C115="","",IFERROR($E115*VLOOKUP($C115,'2_Control_de_Stock'!$A$11:$N$210,10,0),0))</f>
        <v/>
      </c>
      <c r="J115" s="36">
        <f>IF($G115="","",$G115-$I115)</f>
        <v/>
      </c>
      <c r="K115" s="37">
        <f>IF($C115="","",IFERROR(VLOOKUP($C115,'2_Control_de_Stock'!$A$11:$N$210,3,0),""))</f>
        <v/>
      </c>
    </row>
    <row r="116">
      <c r="A116" s="21" t="n"/>
      <c r="B116" s="22" t="n"/>
      <c r="C116" s="22" t="n"/>
      <c r="D116" s="35">
        <f>IF($C116="","",IFERROR(VLOOKUP($C116,'2_Control_de_Stock'!$A$11:$N$210,2,0),"⚠️ SKU no existe"))</f>
        <v/>
      </c>
      <c r="E116" s="24" t="n"/>
      <c r="F116" s="33">
        <f>IF($C116="","",IFERROR(VLOOKUP($C116,'2_Control_de_Stock'!$A$11:$N$210,11,0),0))</f>
        <v/>
      </c>
      <c r="G116" s="26">
        <f>IF(OR($C116="",$E116=""),"",$E116*$F116)</f>
        <v/>
      </c>
      <c r="H116" s="22" t="n"/>
      <c r="I116" s="33">
        <f>IF($C116="","",IFERROR($E116*VLOOKUP($C116,'2_Control_de_Stock'!$A$11:$N$210,10,0),0))</f>
        <v/>
      </c>
      <c r="J116" s="36">
        <f>IF($G116="","",$G116-$I116)</f>
        <v/>
      </c>
      <c r="K116" s="37">
        <f>IF($C116="","",IFERROR(VLOOKUP($C116,'2_Control_de_Stock'!$A$11:$N$210,3,0),""))</f>
        <v/>
      </c>
    </row>
    <row r="117">
      <c r="A117" s="21" t="n"/>
      <c r="B117" s="22" t="n"/>
      <c r="C117" s="22" t="n"/>
      <c r="D117" s="35">
        <f>IF($C117="","",IFERROR(VLOOKUP($C117,'2_Control_de_Stock'!$A$11:$N$210,2,0),"⚠️ SKU no existe"))</f>
        <v/>
      </c>
      <c r="E117" s="24" t="n"/>
      <c r="F117" s="33">
        <f>IF($C117="","",IFERROR(VLOOKUP($C117,'2_Control_de_Stock'!$A$11:$N$210,11,0),0))</f>
        <v/>
      </c>
      <c r="G117" s="26">
        <f>IF(OR($C117="",$E117=""),"",$E117*$F117)</f>
        <v/>
      </c>
      <c r="H117" s="22" t="n"/>
      <c r="I117" s="33">
        <f>IF($C117="","",IFERROR($E117*VLOOKUP($C117,'2_Control_de_Stock'!$A$11:$N$210,10,0),0))</f>
        <v/>
      </c>
      <c r="J117" s="36">
        <f>IF($G117="","",$G117-$I117)</f>
        <v/>
      </c>
      <c r="K117" s="37">
        <f>IF($C117="","",IFERROR(VLOOKUP($C117,'2_Control_de_Stock'!$A$11:$N$210,3,0),""))</f>
        <v/>
      </c>
    </row>
    <row r="118">
      <c r="A118" s="21" t="n"/>
      <c r="B118" s="22" t="n"/>
      <c r="C118" s="22" t="n"/>
      <c r="D118" s="35">
        <f>IF($C118="","",IFERROR(VLOOKUP($C118,'2_Control_de_Stock'!$A$11:$N$210,2,0),"⚠️ SKU no existe"))</f>
        <v/>
      </c>
      <c r="E118" s="24" t="n"/>
      <c r="F118" s="33">
        <f>IF($C118="","",IFERROR(VLOOKUP($C118,'2_Control_de_Stock'!$A$11:$N$210,11,0),0))</f>
        <v/>
      </c>
      <c r="G118" s="26">
        <f>IF(OR($C118="",$E118=""),"",$E118*$F118)</f>
        <v/>
      </c>
      <c r="H118" s="22" t="n"/>
      <c r="I118" s="33">
        <f>IF($C118="","",IFERROR($E118*VLOOKUP($C118,'2_Control_de_Stock'!$A$11:$N$210,10,0),0))</f>
        <v/>
      </c>
      <c r="J118" s="36">
        <f>IF($G118="","",$G118-$I118)</f>
        <v/>
      </c>
      <c r="K118" s="37">
        <f>IF($C118="","",IFERROR(VLOOKUP($C118,'2_Control_de_Stock'!$A$11:$N$210,3,0),""))</f>
        <v/>
      </c>
    </row>
    <row r="119">
      <c r="A119" s="21" t="n"/>
      <c r="B119" s="22" t="n"/>
      <c r="C119" s="22" t="n"/>
      <c r="D119" s="35">
        <f>IF($C119="","",IFERROR(VLOOKUP($C119,'2_Control_de_Stock'!$A$11:$N$210,2,0),"⚠️ SKU no existe"))</f>
        <v/>
      </c>
      <c r="E119" s="24" t="n"/>
      <c r="F119" s="33">
        <f>IF($C119="","",IFERROR(VLOOKUP($C119,'2_Control_de_Stock'!$A$11:$N$210,11,0),0))</f>
        <v/>
      </c>
      <c r="G119" s="26">
        <f>IF(OR($C119="",$E119=""),"",$E119*$F119)</f>
        <v/>
      </c>
      <c r="H119" s="22" t="n"/>
      <c r="I119" s="33">
        <f>IF($C119="","",IFERROR($E119*VLOOKUP($C119,'2_Control_de_Stock'!$A$11:$N$210,10,0),0))</f>
        <v/>
      </c>
      <c r="J119" s="36">
        <f>IF($G119="","",$G119-$I119)</f>
        <v/>
      </c>
      <c r="K119" s="37">
        <f>IF($C119="","",IFERROR(VLOOKUP($C119,'2_Control_de_Stock'!$A$11:$N$210,3,0),""))</f>
        <v/>
      </c>
    </row>
    <row r="120">
      <c r="A120" s="21" t="n"/>
      <c r="B120" s="22" t="n"/>
      <c r="C120" s="22" t="n"/>
      <c r="D120" s="35">
        <f>IF($C120="","",IFERROR(VLOOKUP($C120,'2_Control_de_Stock'!$A$11:$N$210,2,0),"⚠️ SKU no existe"))</f>
        <v/>
      </c>
      <c r="E120" s="24" t="n"/>
      <c r="F120" s="33">
        <f>IF($C120="","",IFERROR(VLOOKUP($C120,'2_Control_de_Stock'!$A$11:$N$210,11,0),0))</f>
        <v/>
      </c>
      <c r="G120" s="26">
        <f>IF(OR($C120="",$E120=""),"",$E120*$F120)</f>
        <v/>
      </c>
      <c r="H120" s="22" t="n"/>
      <c r="I120" s="33">
        <f>IF($C120="","",IFERROR($E120*VLOOKUP($C120,'2_Control_de_Stock'!$A$11:$N$210,10,0),0))</f>
        <v/>
      </c>
      <c r="J120" s="36">
        <f>IF($G120="","",$G120-$I120)</f>
        <v/>
      </c>
      <c r="K120" s="37">
        <f>IF($C120="","",IFERROR(VLOOKUP($C120,'2_Control_de_Stock'!$A$11:$N$210,3,0),""))</f>
        <v/>
      </c>
    </row>
    <row r="121">
      <c r="A121" s="21" t="n"/>
      <c r="B121" s="22" t="n"/>
      <c r="C121" s="22" t="n"/>
      <c r="D121" s="35">
        <f>IF($C121="","",IFERROR(VLOOKUP($C121,'2_Control_de_Stock'!$A$11:$N$210,2,0),"⚠️ SKU no existe"))</f>
        <v/>
      </c>
      <c r="E121" s="24" t="n"/>
      <c r="F121" s="33">
        <f>IF($C121="","",IFERROR(VLOOKUP($C121,'2_Control_de_Stock'!$A$11:$N$210,11,0),0))</f>
        <v/>
      </c>
      <c r="G121" s="26">
        <f>IF(OR($C121="",$E121=""),"",$E121*$F121)</f>
        <v/>
      </c>
      <c r="H121" s="22" t="n"/>
      <c r="I121" s="33">
        <f>IF($C121="","",IFERROR($E121*VLOOKUP($C121,'2_Control_de_Stock'!$A$11:$N$210,10,0),0))</f>
        <v/>
      </c>
      <c r="J121" s="36">
        <f>IF($G121="","",$G121-$I121)</f>
        <v/>
      </c>
      <c r="K121" s="37">
        <f>IF($C121="","",IFERROR(VLOOKUP($C121,'2_Control_de_Stock'!$A$11:$N$210,3,0),""))</f>
        <v/>
      </c>
    </row>
    <row r="122">
      <c r="A122" s="21" t="n"/>
      <c r="B122" s="22" t="n"/>
      <c r="C122" s="22" t="n"/>
      <c r="D122" s="35">
        <f>IF($C122="","",IFERROR(VLOOKUP($C122,'2_Control_de_Stock'!$A$11:$N$210,2,0),"⚠️ SKU no existe"))</f>
        <v/>
      </c>
      <c r="E122" s="24" t="n"/>
      <c r="F122" s="33">
        <f>IF($C122="","",IFERROR(VLOOKUP($C122,'2_Control_de_Stock'!$A$11:$N$210,11,0),0))</f>
        <v/>
      </c>
      <c r="G122" s="26">
        <f>IF(OR($C122="",$E122=""),"",$E122*$F122)</f>
        <v/>
      </c>
      <c r="H122" s="22" t="n"/>
      <c r="I122" s="33">
        <f>IF($C122="","",IFERROR($E122*VLOOKUP($C122,'2_Control_de_Stock'!$A$11:$N$210,10,0),0))</f>
        <v/>
      </c>
      <c r="J122" s="36">
        <f>IF($G122="","",$G122-$I122)</f>
        <v/>
      </c>
      <c r="K122" s="37">
        <f>IF($C122="","",IFERROR(VLOOKUP($C122,'2_Control_de_Stock'!$A$11:$N$210,3,0),""))</f>
        <v/>
      </c>
    </row>
    <row r="123">
      <c r="A123" s="21" t="n"/>
      <c r="B123" s="22" t="n"/>
      <c r="C123" s="22" t="n"/>
      <c r="D123" s="35">
        <f>IF($C123="","",IFERROR(VLOOKUP($C123,'2_Control_de_Stock'!$A$11:$N$210,2,0),"⚠️ SKU no existe"))</f>
        <v/>
      </c>
      <c r="E123" s="24" t="n"/>
      <c r="F123" s="33">
        <f>IF($C123="","",IFERROR(VLOOKUP($C123,'2_Control_de_Stock'!$A$11:$N$210,11,0),0))</f>
        <v/>
      </c>
      <c r="G123" s="26">
        <f>IF(OR($C123="",$E123=""),"",$E123*$F123)</f>
        <v/>
      </c>
      <c r="H123" s="22" t="n"/>
      <c r="I123" s="33">
        <f>IF($C123="","",IFERROR($E123*VLOOKUP($C123,'2_Control_de_Stock'!$A$11:$N$210,10,0),0))</f>
        <v/>
      </c>
      <c r="J123" s="36">
        <f>IF($G123="","",$G123-$I123)</f>
        <v/>
      </c>
      <c r="K123" s="37">
        <f>IF($C123="","",IFERROR(VLOOKUP($C123,'2_Control_de_Stock'!$A$11:$N$210,3,0),""))</f>
        <v/>
      </c>
    </row>
    <row r="124">
      <c r="A124" s="21" t="n"/>
      <c r="B124" s="22" t="n"/>
      <c r="C124" s="22" t="n"/>
      <c r="D124" s="35">
        <f>IF($C124="","",IFERROR(VLOOKUP($C124,'2_Control_de_Stock'!$A$11:$N$210,2,0),"⚠️ SKU no existe"))</f>
        <v/>
      </c>
      <c r="E124" s="24" t="n"/>
      <c r="F124" s="33">
        <f>IF($C124="","",IFERROR(VLOOKUP($C124,'2_Control_de_Stock'!$A$11:$N$210,11,0),0))</f>
        <v/>
      </c>
      <c r="G124" s="26">
        <f>IF(OR($C124="",$E124=""),"",$E124*$F124)</f>
        <v/>
      </c>
      <c r="H124" s="22" t="n"/>
      <c r="I124" s="33">
        <f>IF($C124="","",IFERROR($E124*VLOOKUP($C124,'2_Control_de_Stock'!$A$11:$N$210,10,0),0))</f>
        <v/>
      </c>
      <c r="J124" s="36">
        <f>IF($G124="","",$G124-$I124)</f>
        <v/>
      </c>
      <c r="K124" s="37">
        <f>IF($C124="","",IFERROR(VLOOKUP($C124,'2_Control_de_Stock'!$A$11:$N$210,3,0),""))</f>
        <v/>
      </c>
    </row>
    <row r="125">
      <c r="A125" s="21" t="n"/>
      <c r="B125" s="22" t="n"/>
      <c r="C125" s="22" t="n"/>
      <c r="D125" s="35">
        <f>IF($C125="","",IFERROR(VLOOKUP($C125,'2_Control_de_Stock'!$A$11:$N$210,2,0),"⚠️ SKU no existe"))</f>
        <v/>
      </c>
      <c r="E125" s="24" t="n"/>
      <c r="F125" s="33">
        <f>IF($C125="","",IFERROR(VLOOKUP($C125,'2_Control_de_Stock'!$A$11:$N$210,11,0),0))</f>
        <v/>
      </c>
      <c r="G125" s="26">
        <f>IF(OR($C125="",$E125=""),"",$E125*$F125)</f>
        <v/>
      </c>
      <c r="H125" s="22" t="n"/>
      <c r="I125" s="33">
        <f>IF($C125="","",IFERROR($E125*VLOOKUP($C125,'2_Control_de_Stock'!$A$11:$N$210,10,0),0))</f>
        <v/>
      </c>
      <c r="J125" s="36">
        <f>IF($G125="","",$G125-$I125)</f>
        <v/>
      </c>
      <c r="K125" s="37">
        <f>IF($C125="","",IFERROR(VLOOKUP($C125,'2_Control_de_Stock'!$A$11:$N$210,3,0),""))</f>
        <v/>
      </c>
    </row>
    <row r="126">
      <c r="A126" s="21" t="n"/>
      <c r="B126" s="22" t="n"/>
      <c r="C126" s="22" t="n"/>
      <c r="D126" s="35">
        <f>IF($C126="","",IFERROR(VLOOKUP($C126,'2_Control_de_Stock'!$A$11:$N$210,2,0),"⚠️ SKU no existe"))</f>
        <v/>
      </c>
      <c r="E126" s="24" t="n"/>
      <c r="F126" s="33">
        <f>IF($C126="","",IFERROR(VLOOKUP($C126,'2_Control_de_Stock'!$A$11:$N$210,11,0),0))</f>
        <v/>
      </c>
      <c r="G126" s="26">
        <f>IF(OR($C126="",$E126=""),"",$E126*$F126)</f>
        <v/>
      </c>
      <c r="H126" s="22" t="n"/>
      <c r="I126" s="33">
        <f>IF($C126="","",IFERROR($E126*VLOOKUP($C126,'2_Control_de_Stock'!$A$11:$N$210,10,0),0))</f>
        <v/>
      </c>
      <c r="J126" s="36">
        <f>IF($G126="","",$G126-$I126)</f>
        <v/>
      </c>
      <c r="K126" s="37">
        <f>IF($C126="","",IFERROR(VLOOKUP($C126,'2_Control_de_Stock'!$A$11:$N$210,3,0),""))</f>
        <v/>
      </c>
    </row>
    <row r="127">
      <c r="A127" s="21" t="n"/>
      <c r="B127" s="22" t="n"/>
      <c r="C127" s="22" t="n"/>
      <c r="D127" s="35">
        <f>IF($C127="","",IFERROR(VLOOKUP($C127,'2_Control_de_Stock'!$A$11:$N$210,2,0),"⚠️ SKU no existe"))</f>
        <v/>
      </c>
      <c r="E127" s="24" t="n"/>
      <c r="F127" s="33">
        <f>IF($C127="","",IFERROR(VLOOKUP($C127,'2_Control_de_Stock'!$A$11:$N$210,11,0),0))</f>
        <v/>
      </c>
      <c r="G127" s="26">
        <f>IF(OR($C127="",$E127=""),"",$E127*$F127)</f>
        <v/>
      </c>
      <c r="H127" s="22" t="n"/>
      <c r="I127" s="33">
        <f>IF($C127="","",IFERROR($E127*VLOOKUP($C127,'2_Control_de_Stock'!$A$11:$N$210,10,0),0))</f>
        <v/>
      </c>
      <c r="J127" s="36">
        <f>IF($G127="","",$G127-$I127)</f>
        <v/>
      </c>
      <c r="K127" s="37">
        <f>IF($C127="","",IFERROR(VLOOKUP($C127,'2_Control_de_Stock'!$A$11:$N$210,3,0),""))</f>
        <v/>
      </c>
    </row>
    <row r="128">
      <c r="A128" s="21" t="n"/>
      <c r="B128" s="22" t="n"/>
      <c r="C128" s="22" t="n"/>
      <c r="D128" s="35">
        <f>IF($C128="","",IFERROR(VLOOKUP($C128,'2_Control_de_Stock'!$A$11:$N$210,2,0),"⚠️ SKU no existe"))</f>
        <v/>
      </c>
      <c r="E128" s="24" t="n"/>
      <c r="F128" s="33">
        <f>IF($C128="","",IFERROR(VLOOKUP($C128,'2_Control_de_Stock'!$A$11:$N$210,11,0),0))</f>
        <v/>
      </c>
      <c r="G128" s="26">
        <f>IF(OR($C128="",$E128=""),"",$E128*$F128)</f>
        <v/>
      </c>
      <c r="H128" s="22" t="n"/>
      <c r="I128" s="33">
        <f>IF($C128="","",IFERROR($E128*VLOOKUP($C128,'2_Control_de_Stock'!$A$11:$N$210,10,0),0))</f>
        <v/>
      </c>
      <c r="J128" s="36">
        <f>IF($G128="","",$G128-$I128)</f>
        <v/>
      </c>
      <c r="K128" s="37">
        <f>IF($C128="","",IFERROR(VLOOKUP($C128,'2_Control_de_Stock'!$A$11:$N$210,3,0),""))</f>
        <v/>
      </c>
    </row>
    <row r="129">
      <c r="A129" s="21" t="n"/>
      <c r="B129" s="22" t="n"/>
      <c r="C129" s="22" t="n"/>
      <c r="D129" s="35">
        <f>IF($C129="","",IFERROR(VLOOKUP($C129,'2_Control_de_Stock'!$A$11:$N$210,2,0),"⚠️ SKU no existe"))</f>
        <v/>
      </c>
      <c r="E129" s="24" t="n"/>
      <c r="F129" s="33">
        <f>IF($C129="","",IFERROR(VLOOKUP($C129,'2_Control_de_Stock'!$A$11:$N$210,11,0),0))</f>
        <v/>
      </c>
      <c r="G129" s="26">
        <f>IF(OR($C129="",$E129=""),"",$E129*$F129)</f>
        <v/>
      </c>
      <c r="H129" s="22" t="n"/>
      <c r="I129" s="33">
        <f>IF($C129="","",IFERROR($E129*VLOOKUP($C129,'2_Control_de_Stock'!$A$11:$N$210,10,0),0))</f>
        <v/>
      </c>
      <c r="J129" s="36">
        <f>IF($G129="","",$G129-$I129)</f>
        <v/>
      </c>
      <c r="K129" s="37">
        <f>IF($C129="","",IFERROR(VLOOKUP($C129,'2_Control_de_Stock'!$A$11:$N$210,3,0),""))</f>
        <v/>
      </c>
    </row>
    <row r="130">
      <c r="A130" s="21" t="n"/>
      <c r="B130" s="22" t="n"/>
      <c r="C130" s="22" t="n"/>
      <c r="D130" s="35">
        <f>IF($C130="","",IFERROR(VLOOKUP($C130,'2_Control_de_Stock'!$A$11:$N$210,2,0),"⚠️ SKU no existe"))</f>
        <v/>
      </c>
      <c r="E130" s="24" t="n"/>
      <c r="F130" s="33">
        <f>IF($C130="","",IFERROR(VLOOKUP($C130,'2_Control_de_Stock'!$A$11:$N$210,11,0),0))</f>
        <v/>
      </c>
      <c r="G130" s="26">
        <f>IF(OR($C130="",$E130=""),"",$E130*$F130)</f>
        <v/>
      </c>
      <c r="H130" s="22" t="n"/>
      <c r="I130" s="33">
        <f>IF($C130="","",IFERROR($E130*VLOOKUP($C130,'2_Control_de_Stock'!$A$11:$N$210,10,0),0))</f>
        <v/>
      </c>
      <c r="J130" s="36">
        <f>IF($G130="","",$G130-$I130)</f>
        <v/>
      </c>
      <c r="K130" s="37">
        <f>IF($C130="","",IFERROR(VLOOKUP($C130,'2_Control_de_Stock'!$A$11:$N$210,3,0),""))</f>
        <v/>
      </c>
    </row>
    <row r="131">
      <c r="A131" s="21" t="n"/>
      <c r="B131" s="22" t="n"/>
      <c r="C131" s="22" t="n"/>
      <c r="D131" s="35">
        <f>IF($C131="","",IFERROR(VLOOKUP($C131,'2_Control_de_Stock'!$A$11:$N$210,2,0),"⚠️ SKU no existe"))</f>
        <v/>
      </c>
      <c r="E131" s="24" t="n"/>
      <c r="F131" s="33">
        <f>IF($C131="","",IFERROR(VLOOKUP($C131,'2_Control_de_Stock'!$A$11:$N$210,11,0),0))</f>
        <v/>
      </c>
      <c r="G131" s="26">
        <f>IF(OR($C131="",$E131=""),"",$E131*$F131)</f>
        <v/>
      </c>
      <c r="H131" s="22" t="n"/>
      <c r="I131" s="33">
        <f>IF($C131="","",IFERROR($E131*VLOOKUP($C131,'2_Control_de_Stock'!$A$11:$N$210,10,0),0))</f>
        <v/>
      </c>
      <c r="J131" s="36">
        <f>IF($G131="","",$G131-$I131)</f>
        <v/>
      </c>
      <c r="K131" s="37">
        <f>IF($C131="","",IFERROR(VLOOKUP($C131,'2_Control_de_Stock'!$A$11:$N$210,3,0),""))</f>
        <v/>
      </c>
    </row>
    <row r="132">
      <c r="A132" s="21" t="n"/>
      <c r="B132" s="22" t="n"/>
      <c r="C132" s="22" t="n"/>
      <c r="D132" s="35">
        <f>IF($C132="","",IFERROR(VLOOKUP($C132,'2_Control_de_Stock'!$A$11:$N$210,2,0),"⚠️ SKU no existe"))</f>
        <v/>
      </c>
      <c r="E132" s="24" t="n"/>
      <c r="F132" s="33">
        <f>IF($C132="","",IFERROR(VLOOKUP($C132,'2_Control_de_Stock'!$A$11:$N$210,11,0),0))</f>
        <v/>
      </c>
      <c r="G132" s="26">
        <f>IF(OR($C132="",$E132=""),"",$E132*$F132)</f>
        <v/>
      </c>
      <c r="H132" s="22" t="n"/>
      <c r="I132" s="33">
        <f>IF($C132="","",IFERROR($E132*VLOOKUP($C132,'2_Control_de_Stock'!$A$11:$N$210,10,0),0))</f>
        <v/>
      </c>
      <c r="J132" s="36">
        <f>IF($G132="","",$G132-$I132)</f>
        <v/>
      </c>
      <c r="K132" s="37">
        <f>IF($C132="","",IFERROR(VLOOKUP($C132,'2_Control_de_Stock'!$A$11:$N$210,3,0),""))</f>
        <v/>
      </c>
    </row>
    <row r="133">
      <c r="A133" s="21" t="n"/>
      <c r="B133" s="22" t="n"/>
      <c r="C133" s="22" t="n"/>
      <c r="D133" s="35">
        <f>IF($C133="","",IFERROR(VLOOKUP($C133,'2_Control_de_Stock'!$A$11:$N$210,2,0),"⚠️ SKU no existe"))</f>
        <v/>
      </c>
      <c r="E133" s="24" t="n"/>
      <c r="F133" s="33">
        <f>IF($C133="","",IFERROR(VLOOKUP($C133,'2_Control_de_Stock'!$A$11:$N$210,11,0),0))</f>
        <v/>
      </c>
      <c r="G133" s="26">
        <f>IF(OR($C133="",$E133=""),"",$E133*$F133)</f>
        <v/>
      </c>
      <c r="H133" s="22" t="n"/>
      <c r="I133" s="33">
        <f>IF($C133="","",IFERROR($E133*VLOOKUP($C133,'2_Control_de_Stock'!$A$11:$N$210,10,0),0))</f>
        <v/>
      </c>
      <c r="J133" s="36">
        <f>IF($G133="","",$G133-$I133)</f>
        <v/>
      </c>
      <c r="K133" s="37">
        <f>IF($C133="","",IFERROR(VLOOKUP($C133,'2_Control_de_Stock'!$A$11:$N$210,3,0),""))</f>
        <v/>
      </c>
    </row>
    <row r="134">
      <c r="A134" s="21" t="n"/>
      <c r="B134" s="22" t="n"/>
      <c r="C134" s="22" t="n"/>
      <c r="D134" s="35">
        <f>IF($C134="","",IFERROR(VLOOKUP($C134,'2_Control_de_Stock'!$A$11:$N$210,2,0),"⚠️ SKU no existe"))</f>
        <v/>
      </c>
      <c r="E134" s="24" t="n"/>
      <c r="F134" s="33">
        <f>IF($C134="","",IFERROR(VLOOKUP($C134,'2_Control_de_Stock'!$A$11:$N$210,11,0),0))</f>
        <v/>
      </c>
      <c r="G134" s="26">
        <f>IF(OR($C134="",$E134=""),"",$E134*$F134)</f>
        <v/>
      </c>
      <c r="H134" s="22" t="n"/>
      <c r="I134" s="33">
        <f>IF($C134="","",IFERROR($E134*VLOOKUP($C134,'2_Control_de_Stock'!$A$11:$N$210,10,0),0))</f>
        <v/>
      </c>
      <c r="J134" s="36">
        <f>IF($G134="","",$G134-$I134)</f>
        <v/>
      </c>
      <c r="K134" s="37">
        <f>IF($C134="","",IFERROR(VLOOKUP($C134,'2_Control_de_Stock'!$A$11:$N$210,3,0),""))</f>
        <v/>
      </c>
    </row>
    <row r="135">
      <c r="A135" s="21" t="n"/>
      <c r="B135" s="22" t="n"/>
      <c r="C135" s="22" t="n"/>
      <c r="D135" s="35">
        <f>IF($C135="","",IFERROR(VLOOKUP($C135,'2_Control_de_Stock'!$A$11:$N$210,2,0),"⚠️ SKU no existe"))</f>
        <v/>
      </c>
      <c r="E135" s="24" t="n"/>
      <c r="F135" s="33">
        <f>IF($C135="","",IFERROR(VLOOKUP($C135,'2_Control_de_Stock'!$A$11:$N$210,11,0),0))</f>
        <v/>
      </c>
      <c r="G135" s="26">
        <f>IF(OR($C135="",$E135=""),"",$E135*$F135)</f>
        <v/>
      </c>
      <c r="H135" s="22" t="n"/>
      <c r="I135" s="33">
        <f>IF($C135="","",IFERROR($E135*VLOOKUP($C135,'2_Control_de_Stock'!$A$11:$N$210,10,0),0))</f>
        <v/>
      </c>
      <c r="J135" s="36">
        <f>IF($G135="","",$G135-$I135)</f>
        <v/>
      </c>
      <c r="K135" s="37">
        <f>IF($C135="","",IFERROR(VLOOKUP($C135,'2_Control_de_Stock'!$A$11:$N$210,3,0),""))</f>
        <v/>
      </c>
    </row>
    <row r="136">
      <c r="A136" s="21" t="n"/>
      <c r="B136" s="22" t="n"/>
      <c r="C136" s="22" t="n"/>
      <c r="D136" s="35">
        <f>IF($C136="","",IFERROR(VLOOKUP($C136,'2_Control_de_Stock'!$A$11:$N$210,2,0),"⚠️ SKU no existe"))</f>
        <v/>
      </c>
      <c r="E136" s="24" t="n"/>
      <c r="F136" s="33">
        <f>IF($C136="","",IFERROR(VLOOKUP($C136,'2_Control_de_Stock'!$A$11:$N$210,11,0),0))</f>
        <v/>
      </c>
      <c r="G136" s="26">
        <f>IF(OR($C136="",$E136=""),"",$E136*$F136)</f>
        <v/>
      </c>
      <c r="H136" s="22" t="n"/>
      <c r="I136" s="33">
        <f>IF($C136="","",IFERROR($E136*VLOOKUP($C136,'2_Control_de_Stock'!$A$11:$N$210,10,0),0))</f>
        <v/>
      </c>
      <c r="J136" s="36">
        <f>IF($G136="","",$G136-$I136)</f>
        <v/>
      </c>
      <c r="K136" s="37">
        <f>IF($C136="","",IFERROR(VLOOKUP($C136,'2_Control_de_Stock'!$A$11:$N$210,3,0),""))</f>
        <v/>
      </c>
    </row>
    <row r="137">
      <c r="A137" s="21" t="n"/>
      <c r="B137" s="22" t="n"/>
      <c r="C137" s="22" t="n"/>
      <c r="D137" s="35">
        <f>IF($C137="","",IFERROR(VLOOKUP($C137,'2_Control_de_Stock'!$A$11:$N$210,2,0),"⚠️ SKU no existe"))</f>
        <v/>
      </c>
      <c r="E137" s="24" t="n"/>
      <c r="F137" s="33">
        <f>IF($C137="","",IFERROR(VLOOKUP($C137,'2_Control_de_Stock'!$A$11:$N$210,11,0),0))</f>
        <v/>
      </c>
      <c r="G137" s="26">
        <f>IF(OR($C137="",$E137=""),"",$E137*$F137)</f>
        <v/>
      </c>
      <c r="H137" s="22" t="n"/>
      <c r="I137" s="33">
        <f>IF($C137="","",IFERROR($E137*VLOOKUP($C137,'2_Control_de_Stock'!$A$11:$N$210,10,0),0))</f>
        <v/>
      </c>
      <c r="J137" s="36">
        <f>IF($G137="","",$G137-$I137)</f>
        <v/>
      </c>
      <c r="K137" s="37">
        <f>IF($C137="","",IFERROR(VLOOKUP($C137,'2_Control_de_Stock'!$A$11:$N$210,3,0),""))</f>
        <v/>
      </c>
    </row>
    <row r="138">
      <c r="A138" s="21" t="n"/>
      <c r="B138" s="22" t="n"/>
      <c r="C138" s="22" t="n"/>
      <c r="D138" s="35">
        <f>IF($C138="","",IFERROR(VLOOKUP($C138,'2_Control_de_Stock'!$A$11:$N$210,2,0),"⚠️ SKU no existe"))</f>
        <v/>
      </c>
      <c r="E138" s="24" t="n"/>
      <c r="F138" s="33">
        <f>IF($C138="","",IFERROR(VLOOKUP($C138,'2_Control_de_Stock'!$A$11:$N$210,11,0),0))</f>
        <v/>
      </c>
      <c r="G138" s="26">
        <f>IF(OR($C138="",$E138=""),"",$E138*$F138)</f>
        <v/>
      </c>
      <c r="H138" s="22" t="n"/>
      <c r="I138" s="33">
        <f>IF($C138="","",IFERROR($E138*VLOOKUP($C138,'2_Control_de_Stock'!$A$11:$N$210,10,0),0))</f>
        <v/>
      </c>
      <c r="J138" s="36">
        <f>IF($G138="","",$G138-$I138)</f>
        <v/>
      </c>
      <c r="K138" s="37">
        <f>IF($C138="","",IFERROR(VLOOKUP($C138,'2_Control_de_Stock'!$A$11:$N$210,3,0),""))</f>
        <v/>
      </c>
    </row>
    <row r="139">
      <c r="A139" s="21" t="n"/>
      <c r="B139" s="22" t="n"/>
      <c r="C139" s="22" t="n"/>
      <c r="D139" s="35">
        <f>IF($C139="","",IFERROR(VLOOKUP($C139,'2_Control_de_Stock'!$A$11:$N$210,2,0),"⚠️ SKU no existe"))</f>
        <v/>
      </c>
      <c r="E139" s="24" t="n"/>
      <c r="F139" s="33">
        <f>IF($C139="","",IFERROR(VLOOKUP($C139,'2_Control_de_Stock'!$A$11:$N$210,11,0),0))</f>
        <v/>
      </c>
      <c r="G139" s="26">
        <f>IF(OR($C139="",$E139=""),"",$E139*$F139)</f>
        <v/>
      </c>
      <c r="H139" s="22" t="n"/>
      <c r="I139" s="33">
        <f>IF($C139="","",IFERROR($E139*VLOOKUP($C139,'2_Control_de_Stock'!$A$11:$N$210,10,0),0))</f>
        <v/>
      </c>
      <c r="J139" s="36">
        <f>IF($G139="","",$G139-$I139)</f>
        <v/>
      </c>
      <c r="K139" s="37">
        <f>IF($C139="","",IFERROR(VLOOKUP($C139,'2_Control_de_Stock'!$A$11:$N$210,3,0),""))</f>
        <v/>
      </c>
    </row>
    <row r="140">
      <c r="A140" s="21" t="n"/>
      <c r="B140" s="22" t="n"/>
      <c r="C140" s="22" t="n"/>
      <c r="D140" s="35">
        <f>IF($C140="","",IFERROR(VLOOKUP($C140,'2_Control_de_Stock'!$A$11:$N$210,2,0),"⚠️ SKU no existe"))</f>
        <v/>
      </c>
      <c r="E140" s="24" t="n"/>
      <c r="F140" s="33">
        <f>IF($C140="","",IFERROR(VLOOKUP($C140,'2_Control_de_Stock'!$A$11:$N$210,11,0),0))</f>
        <v/>
      </c>
      <c r="G140" s="26">
        <f>IF(OR($C140="",$E140=""),"",$E140*$F140)</f>
        <v/>
      </c>
      <c r="H140" s="22" t="n"/>
      <c r="I140" s="33">
        <f>IF($C140="","",IFERROR($E140*VLOOKUP($C140,'2_Control_de_Stock'!$A$11:$N$210,10,0),0))</f>
        <v/>
      </c>
      <c r="J140" s="36">
        <f>IF($G140="","",$G140-$I140)</f>
        <v/>
      </c>
      <c r="K140" s="37">
        <f>IF($C140="","",IFERROR(VLOOKUP($C140,'2_Control_de_Stock'!$A$11:$N$210,3,0),""))</f>
        <v/>
      </c>
    </row>
    <row r="141">
      <c r="A141" s="21" t="n"/>
      <c r="B141" s="22" t="n"/>
      <c r="C141" s="22" t="n"/>
      <c r="D141" s="35">
        <f>IF($C141="","",IFERROR(VLOOKUP($C141,'2_Control_de_Stock'!$A$11:$N$210,2,0),"⚠️ SKU no existe"))</f>
        <v/>
      </c>
      <c r="E141" s="24" t="n"/>
      <c r="F141" s="33">
        <f>IF($C141="","",IFERROR(VLOOKUP($C141,'2_Control_de_Stock'!$A$11:$N$210,11,0),0))</f>
        <v/>
      </c>
      <c r="G141" s="26">
        <f>IF(OR($C141="",$E141=""),"",$E141*$F141)</f>
        <v/>
      </c>
      <c r="H141" s="22" t="n"/>
      <c r="I141" s="33">
        <f>IF($C141="","",IFERROR($E141*VLOOKUP($C141,'2_Control_de_Stock'!$A$11:$N$210,10,0),0))</f>
        <v/>
      </c>
      <c r="J141" s="36">
        <f>IF($G141="","",$G141-$I141)</f>
        <v/>
      </c>
      <c r="K141" s="37">
        <f>IF($C141="","",IFERROR(VLOOKUP($C141,'2_Control_de_Stock'!$A$11:$N$210,3,0),""))</f>
        <v/>
      </c>
    </row>
    <row r="142">
      <c r="A142" s="21" t="n"/>
      <c r="B142" s="22" t="n"/>
      <c r="C142" s="22" t="n"/>
      <c r="D142" s="35">
        <f>IF($C142="","",IFERROR(VLOOKUP($C142,'2_Control_de_Stock'!$A$11:$N$210,2,0),"⚠️ SKU no existe"))</f>
        <v/>
      </c>
      <c r="E142" s="24" t="n"/>
      <c r="F142" s="33">
        <f>IF($C142="","",IFERROR(VLOOKUP($C142,'2_Control_de_Stock'!$A$11:$N$210,11,0),0))</f>
        <v/>
      </c>
      <c r="G142" s="26">
        <f>IF(OR($C142="",$E142=""),"",$E142*$F142)</f>
        <v/>
      </c>
      <c r="H142" s="22" t="n"/>
      <c r="I142" s="33">
        <f>IF($C142="","",IFERROR($E142*VLOOKUP($C142,'2_Control_de_Stock'!$A$11:$N$210,10,0),0))</f>
        <v/>
      </c>
      <c r="J142" s="36">
        <f>IF($G142="","",$G142-$I142)</f>
        <v/>
      </c>
      <c r="K142" s="37">
        <f>IF($C142="","",IFERROR(VLOOKUP($C142,'2_Control_de_Stock'!$A$11:$N$210,3,0),""))</f>
        <v/>
      </c>
    </row>
    <row r="143">
      <c r="A143" s="21" t="n"/>
      <c r="B143" s="22" t="n"/>
      <c r="C143" s="22" t="n"/>
      <c r="D143" s="35">
        <f>IF($C143="","",IFERROR(VLOOKUP($C143,'2_Control_de_Stock'!$A$11:$N$210,2,0),"⚠️ SKU no existe"))</f>
        <v/>
      </c>
      <c r="E143" s="24" t="n"/>
      <c r="F143" s="33">
        <f>IF($C143="","",IFERROR(VLOOKUP($C143,'2_Control_de_Stock'!$A$11:$N$210,11,0),0))</f>
        <v/>
      </c>
      <c r="G143" s="26">
        <f>IF(OR($C143="",$E143=""),"",$E143*$F143)</f>
        <v/>
      </c>
      <c r="H143" s="22" t="n"/>
      <c r="I143" s="33">
        <f>IF($C143="","",IFERROR($E143*VLOOKUP($C143,'2_Control_de_Stock'!$A$11:$N$210,10,0),0))</f>
        <v/>
      </c>
      <c r="J143" s="36">
        <f>IF($G143="","",$G143-$I143)</f>
        <v/>
      </c>
      <c r="K143" s="37">
        <f>IF($C143="","",IFERROR(VLOOKUP($C143,'2_Control_de_Stock'!$A$11:$N$210,3,0),""))</f>
        <v/>
      </c>
    </row>
    <row r="144">
      <c r="A144" s="21" t="n"/>
      <c r="B144" s="22" t="n"/>
      <c r="C144" s="22" t="n"/>
      <c r="D144" s="35">
        <f>IF($C144="","",IFERROR(VLOOKUP($C144,'2_Control_de_Stock'!$A$11:$N$210,2,0),"⚠️ SKU no existe"))</f>
        <v/>
      </c>
      <c r="E144" s="24" t="n"/>
      <c r="F144" s="33">
        <f>IF($C144="","",IFERROR(VLOOKUP($C144,'2_Control_de_Stock'!$A$11:$N$210,11,0),0))</f>
        <v/>
      </c>
      <c r="G144" s="26">
        <f>IF(OR($C144="",$E144=""),"",$E144*$F144)</f>
        <v/>
      </c>
      <c r="H144" s="22" t="n"/>
      <c r="I144" s="33">
        <f>IF($C144="","",IFERROR($E144*VLOOKUP($C144,'2_Control_de_Stock'!$A$11:$N$210,10,0),0))</f>
        <v/>
      </c>
      <c r="J144" s="36">
        <f>IF($G144="","",$G144-$I144)</f>
        <v/>
      </c>
      <c r="K144" s="37">
        <f>IF($C144="","",IFERROR(VLOOKUP($C144,'2_Control_de_Stock'!$A$11:$N$210,3,0),""))</f>
        <v/>
      </c>
    </row>
    <row r="145">
      <c r="A145" s="21" t="n"/>
      <c r="B145" s="22" t="n"/>
      <c r="C145" s="22" t="n"/>
      <c r="D145" s="35">
        <f>IF($C145="","",IFERROR(VLOOKUP($C145,'2_Control_de_Stock'!$A$11:$N$210,2,0),"⚠️ SKU no existe"))</f>
        <v/>
      </c>
      <c r="E145" s="24" t="n"/>
      <c r="F145" s="33">
        <f>IF($C145="","",IFERROR(VLOOKUP($C145,'2_Control_de_Stock'!$A$11:$N$210,11,0),0))</f>
        <v/>
      </c>
      <c r="G145" s="26">
        <f>IF(OR($C145="",$E145=""),"",$E145*$F145)</f>
        <v/>
      </c>
      <c r="H145" s="22" t="n"/>
      <c r="I145" s="33">
        <f>IF($C145="","",IFERROR($E145*VLOOKUP($C145,'2_Control_de_Stock'!$A$11:$N$210,10,0),0))</f>
        <v/>
      </c>
      <c r="J145" s="36">
        <f>IF($G145="","",$G145-$I145)</f>
        <v/>
      </c>
      <c r="K145" s="37">
        <f>IF($C145="","",IFERROR(VLOOKUP($C145,'2_Control_de_Stock'!$A$11:$N$210,3,0),""))</f>
        <v/>
      </c>
    </row>
    <row r="146">
      <c r="A146" s="21" t="n"/>
      <c r="B146" s="22" t="n"/>
      <c r="C146" s="22" t="n"/>
      <c r="D146" s="35">
        <f>IF($C146="","",IFERROR(VLOOKUP($C146,'2_Control_de_Stock'!$A$11:$N$210,2,0),"⚠️ SKU no existe"))</f>
        <v/>
      </c>
      <c r="E146" s="24" t="n"/>
      <c r="F146" s="33">
        <f>IF($C146="","",IFERROR(VLOOKUP($C146,'2_Control_de_Stock'!$A$11:$N$210,11,0),0))</f>
        <v/>
      </c>
      <c r="G146" s="26">
        <f>IF(OR($C146="",$E146=""),"",$E146*$F146)</f>
        <v/>
      </c>
      <c r="H146" s="22" t="n"/>
      <c r="I146" s="33">
        <f>IF($C146="","",IFERROR($E146*VLOOKUP($C146,'2_Control_de_Stock'!$A$11:$N$210,10,0),0))</f>
        <v/>
      </c>
      <c r="J146" s="36">
        <f>IF($G146="","",$G146-$I146)</f>
        <v/>
      </c>
      <c r="K146" s="37">
        <f>IF($C146="","",IFERROR(VLOOKUP($C146,'2_Control_de_Stock'!$A$11:$N$210,3,0),""))</f>
        <v/>
      </c>
    </row>
    <row r="147">
      <c r="A147" s="21" t="n"/>
      <c r="B147" s="22" t="n"/>
      <c r="C147" s="22" t="n"/>
      <c r="D147" s="35">
        <f>IF($C147="","",IFERROR(VLOOKUP($C147,'2_Control_de_Stock'!$A$11:$N$210,2,0),"⚠️ SKU no existe"))</f>
        <v/>
      </c>
      <c r="E147" s="24" t="n"/>
      <c r="F147" s="33">
        <f>IF($C147="","",IFERROR(VLOOKUP($C147,'2_Control_de_Stock'!$A$11:$N$210,11,0),0))</f>
        <v/>
      </c>
      <c r="G147" s="26">
        <f>IF(OR($C147="",$E147=""),"",$E147*$F147)</f>
        <v/>
      </c>
      <c r="H147" s="22" t="n"/>
      <c r="I147" s="33">
        <f>IF($C147="","",IFERROR($E147*VLOOKUP($C147,'2_Control_de_Stock'!$A$11:$N$210,10,0),0))</f>
        <v/>
      </c>
      <c r="J147" s="36">
        <f>IF($G147="","",$G147-$I147)</f>
        <v/>
      </c>
      <c r="K147" s="37">
        <f>IF($C147="","",IFERROR(VLOOKUP($C147,'2_Control_de_Stock'!$A$11:$N$210,3,0),""))</f>
        <v/>
      </c>
    </row>
    <row r="148">
      <c r="A148" s="21" t="n"/>
      <c r="B148" s="22" t="n"/>
      <c r="C148" s="22" t="n"/>
      <c r="D148" s="35">
        <f>IF($C148="","",IFERROR(VLOOKUP($C148,'2_Control_de_Stock'!$A$11:$N$210,2,0),"⚠️ SKU no existe"))</f>
        <v/>
      </c>
      <c r="E148" s="24" t="n"/>
      <c r="F148" s="33">
        <f>IF($C148="","",IFERROR(VLOOKUP($C148,'2_Control_de_Stock'!$A$11:$N$210,11,0),0))</f>
        <v/>
      </c>
      <c r="G148" s="26">
        <f>IF(OR($C148="",$E148=""),"",$E148*$F148)</f>
        <v/>
      </c>
      <c r="H148" s="22" t="n"/>
      <c r="I148" s="33">
        <f>IF($C148="","",IFERROR($E148*VLOOKUP($C148,'2_Control_de_Stock'!$A$11:$N$210,10,0),0))</f>
        <v/>
      </c>
      <c r="J148" s="36">
        <f>IF($G148="","",$G148-$I148)</f>
        <v/>
      </c>
      <c r="K148" s="37">
        <f>IF($C148="","",IFERROR(VLOOKUP($C148,'2_Control_de_Stock'!$A$11:$N$210,3,0),""))</f>
        <v/>
      </c>
    </row>
    <row r="149">
      <c r="A149" s="21" t="n"/>
      <c r="B149" s="22" t="n"/>
      <c r="C149" s="22" t="n"/>
      <c r="D149" s="35">
        <f>IF($C149="","",IFERROR(VLOOKUP($C149,'2_Control_de_Stock'!$A$11:$N$210,2,0),"⚠️ SKU no existe"))</f>
        <v/>
      </c>
      <c r="E149" s="24" t="n"/>
      <c r="F149" s="33">
        <f>IF($C149="","",IFERROR(VLOOKUP($C149,'2_Control_de_Stock'!$A$11:$N$210,11,0),0))</f>
        <v/>
      </c>
      <c r="G149" s="26">
        <f>IF(OR($C149="",$E149=""),"",$E149*$F149)</f>
        <v/>
      </c>
      <c r="H149" s="22" t="n"/>
      <c r="I149" s="33">
        <f>IF($C149="","",IFERROR($E149*VLOOKUP($C149,'2_Control_de_Stock'!$A$11:$N$210,10,0),0))</f>
        <v/>
      </c>
      <c r="J149" s="36">
        <f>IF($G149="","",$G149-$I149)</f>
        <v/>
      </c>
      <c r="K149" s="37">
        <f>IF($C149="","",IFERROR(VLOOKUP($C149,'2_Control_de_Stock'!$A$11:$N$210,3,0),""))</f>
        <v/>
      </c>
    </row>
    <row r="150">
      <c r="A150" s="21" t="n"/>
      <c r="B150" s="22" t="n"/>
      <c r="C150" s="22" t="n"/>
      <c r="D150" s="35">
        <f>IF($C150="","",IFERROR(VLOOKUP($C150,'2_Control_de_Stock'!$A$11:$N$210,2,0),"⚠️ SKU no existe"))</f>
        <v/>
      </c>
      <c r="E150" s="24" t="n"/>
      <c r="F150" s="33">
        <f>IF($C150="","",IFERROR(VLOOKUP($C150,'2_Control_de_Stock'!$A$11:$N$210,11,0),0))</f>
        <v/>
      </c>
      <c r="G150" s="26">
        <f>IF(OR($C150="",$E150=""),"",$E150*$F150)</f>
        <v/>
      </c>
      <c r="H150" s="22" t="n"/>
      <c r="I150" s="33">
        <f>IF($C150="","",IFERROR($E150*VLOOKUP($C150,'2_Control_de_Stock'!$A$11:$N$210,10,0),0))</f>
        <v/>
      </c>
      <c r="J150" s="36">
        <f>IF($G150="","",$G150-$I150)</f>
        <v/>
      </c>
      <c r="K150" s="37">
        <f>IF($C150="","",IFERROR(VLOOKUP($C150,'2_Control_de_Stock'!$A$11:$N$210,3,0),""))</f>
        <v/>
      </c>
    </row>
    <row r="151">
      <c r="A151" s="21" t="n"/>
      <c r="B151" s="22" t="n"/>
      <c r="C151" s="22" t="n"/>
      <c r="D151" s="35">
        <f>IF($C151="","",IFERROR(VLOOKUP($C151,'2_Control_de_Stock'!$A$11:$N$210,2,0),"⚠️ SKU no existe"))</f>
        <v/>
      </c>
      <c r="E151" s="24" t="n"/>
      <c r="F151" s="33">
        <f>IF($C151="","",IFERROR(VLOOKUP($C151,'2_Control_de_Stock'!$A$11:$N$210,11,0),0))</f>
        <v/>
      </c>
      <c r="G151" s="26">
        <f>IF(OR($C151="",$E151=""),"",$E151*$F151)</f>
        <v/>
      </c>
      <c r="H151" s="22" t="n"/>
      <c r="I151" s="33">
        <f>IF($C151="","",IFERROR($E151*VLOOKUP($C151,'2_Control_de_Stock'!$A$11:$N$210,10,0),0))</f>
        <v/>
      </c>
      <c r="J151" s="36">
        <f>IF($G151="","",$G151-$I151)</f>
        <v/>
      </c>
      <c r="K151" s="37">
        <f>IF($C151="","",IFERROR(VLOOKUP($C151,'2_Control_de_Stock'!$A$11:$N$210,3,0),""))</f>
        <v/>
      </c>
    </row>
    <row r="152">
      <c r="A152" s="21" t="n"/>
      <c r="B152" s="22" t="n"/>
      <c r="C152" s="22" t="n"/>
      <c r="D152" s="35">
        <f>IF($C152="","",IFERROR(VLOOKUP($C152,'2_Control_de_Stock'!$A$11:$N$210,2,0),"⚠️ SKU no existe"))</f>
        <v/>
      </c>
      <c r="E152" s="24" t="n"/>
      <c r="F152" s="33">
        <f>IF($C152="","",IFERROR(VLOOKUP($C152,'2_Control_de_Stock'!$A$11:$N$210,11,0),0))</f>
        <v/>
      </c>
      <c r="G152" s="26">
        <f>IF(OR($C152="",$E152=""),"",$E152*$F152)</f>
        <v/>
      </c>
      <c r="H152" s="22" t="n"/>
      <c r="I152" s="33">
        <f>IF($C152="","",IFERROR($E152*VLOOKUP($C152,'2_Control_de_Stock'!$A$11:$N$210,10,0),0))</f>
        <v/>
      </c>
      <c r="J152" s="36">
        <f>IF($G152="","",$G152-$I152)</f>
        <v/>
      </c>
      <c r="K152" s="37">
        <f>IF($C152="","",IFERROR(VLOOKUP($C152,'2_Control_de_Stock'!$A$11:$N$210,3,0),""))</f>
        <v/>
      </c>
    </row>
    <row r="153">
      <c r="A153" s="21" t="n"/>
      <c r="B153" s="22" t="n"/>
      <c r="C153" s="22" t="n"/>
      <c r="D153" s="35">
        <f>IF($C153="","",IFERROR(VLOOKUP($C153,'2_Control_de_Stock'!$A$11:$N$210,2,0),"⚠️ SKU no existe"))</f>
        <v/>
      </c>
      <c r="E153" s="24" t="n"/>
      <c r="F153" s="33">
        <f>IF($C153="","",IFERROR(VLOOKUP($C153,'2_Control_de_Stock'!$A$11:$N$210,11,0),0))</f>
        <v/>
      </c>
      <c r="G153" s="26">
        <f>IF(OR($C153="",$E153=""),"",$E153*$F153)</f>
        <v/>
      </c>
      <c r="H153" s="22" t="n"/>
      <c r="I153" s="33">
        <f>IF($C153="","",IFERROR($E153*VLOOKUP($C153,'2_Control_de_Stock'!$A$11:$N$210,10,0),0))</f>
        <v/>
      </c>
      <c r="J153" s="36">
        <f>IF($G153="","",$G153-$I153)</f>
        <v/>
      </c>
      <c r="K153" s="37">
        <f>IF($C153="","",IFERROR(VLOOKUP($C153,'2_Control_de_Stock'!$A$11:$N$210,3,0),""))</f>
        <v/>
      </c>
    </row>
    <row r="154">
      <c r="A154" s="21" t="n"/>
      <c r="B154" s="22" t="n"/>
      <c r="C154" s="22" t="n"/>
      <c r="D154" s="35">
        <f>IF($C154="","",IFERROR(VLOOKUP($C154,'2_Control_de_Stock'!$A$11:$N$210,2,0),"⚠️ SKU no existe"))</f>
        <v/>
      </c>
      <c r="E154" s="24" t="n"/>
      <c r="F154" s="33">
        <f>IF($C154="","",IFERROR(VLOOKUP($C154,'2_Control_de_Stock'!$A$11:$N$210,11,0),0))</f>
        <v/>
      </c>
      <c r="G154" s="26">
        <f>IF(OR($C154="",$E154=""),"",$E154*$F154)</f>
        <v/>
      </c>
      <c r="H154" s="22" t="n"/>
      <c r="I154" s="33">
        <f>IF($C154="","",IFERROR($E154*VLOOKUP($C154,'2_Control_de_Stock'!$A$11:$N$210,10,0),0))</f>
        <v/>
      </c>
      <c r="J154" s="36">
        <f>IF($G154="","",$G154-$I154)</f>
        <v/>
      </c>
      <c r="K154" s="37">
        <f>IF($C154="","",IFERROR(VLOOKUP($C154,'2_Control_de_Stock'!$A$11:$N$210,3,0),""))</f>
        <v/>
      </c>
    </row>
    <row r="155">
      <c r="A155" s="21" t="n"/>
      <c r="B155" s="22" t="n"/>
      <c r="C155" s="22" t="n"/>
      <c r="D155" s="35">
        <f>IF($C155="","",IFERROR(VLOOKUP($C155,'2_Control_de_Stock'!$A$11:$N$210,2,0),"⚠️ SKU no existe"))</f>
        <v/>
      </c>
      <c r="E155" s="24" t="n"/>
      <c r="F155" s="33">
        <f>IF($C155="","",IFERROR(VLOOKUP($C155,'2_Control_de_Stock'!$A$11:$N$210,11,0),0))</f>
        <v/>
      </c>
      <c r="G155" s="26">
        <f>IF(OR($C155="",$E155=""),"",$E155*$F155)</f>
        <v/>
      </c>
      <c r="H155" s="22" t="n"/>
      <c r="I155" s="33">
        <f>IF($C155="","",IFERROR($E155*VLOOKUP($C155,'2_Control_de_Stock'!$A$11:$N$210,10,0),0))</f>
        <v/>
      </c>
      <c r="J155" s="36">
        <f>IF($G155="","",$G155-$I155)</f>
        <v/>
      </c>
      <c r="K155" s="37">
        <f>IF($C155="","",IFERROR(VLOOKUP($C155,'2_Control_de_Stock'!$A$11:$N$210,3,0),""))</f>
        <v/>
      </c>
    </row>
    <row r="156">
      <c r="A156" s="21" t="n"/>
      <c r="B156" s="22" t="n"/>
      <c r="C156" s="22" t="n"/>
      <c r="D156" s="35">
        <f>IF($C156="","",IFERROR(VLOOKUP($C156,'2_Control_de_Stock'!$A$11:$N$210,2,0),"⚠️ SKU no existe"))</f>
        <v/>
      </c>
      <c r="E156" s="24" t="n"/>
      <c r="F156" s="33">
        <f>IF($C156="","",IFERROR(VLOOKUP($C156,'2_Control_de_Stock'!$A$11:$N$210,11,0),0))</f>
        <v/>
      </c>
      <c r="G156" s="26">
        <f>IF(OR($C156="",$E156=""),"",$E156*$F156)</f>
        <v/>
      </c>
      <c r="H156" s="22" t="n"/>
      <c r="I156" s="33">
        <f>IF($C156="","",IFERROR($E156*VLOOKUP($C156,'2_Control_de_Stock'!$A$11:$N$210,10,0),0))</f>
        <v/>
      </c>
      <c r="J156" s="36">
        <f>IF($G156="","",$G156-$I156)</f>
        <v/>
      </c>
      <c r="K156" s="37">
        <f>IF($C156="","",IFERROR(VLOOKUP($C156,'2_Control_de_Stock'!$A$11:$N$210,3,0),""))</f>
        <v/>
      </c>
    </row>
    <row r="157">
      <c r="A157" s="21" t="n"/>
      <c r="B157" s="22" t="n"/>
      <c r="C157" s="22" t="n"/>
      <c r="D157" s="35">
        <f>IF($C157="","",IFERROR(VLOOKUP($C157,'2_Control_de_Stock'!$A$11:$N$210,2,0),"⚠️ SKU no existe"))</f>
        <v/>
      </c>
      <c r="E157" s="24" t="n"/>
      <c r="F157" s="33">
        <f>IF($C157="","",IFERROR(VLOOKUP($C157,'2_Control_de_Stock'!$A$11:$N$210,11,0),0))</f>
        <v/>
      </c>
      <c r="G157" s="26">
        <f>IF(OR($C157="",$E157=""),"",$E157*$F157)</f>
        <v/>
      </c>
      <c r="H157" s="22" t="n"/>
      <c r="I157" s="33">
        <f>IF($C157="","",IFERROR($E157*VLOOKUP($C157,'2_Control_de_Stock'!$A$11:$N$210,10,0),0))</f>
        <v/>
      </c>
      <c r="J157" s="36">
        <f>IF($G157="","",$G157-$I157)</f>
        <v/>
      </c>
      <c r="K157" s="37">
        <f>IF($C157="","",IFERROR(VLOOKUP($C157,'2_Control_de_Stock'!$A$11:$N$210,3,0),""))</f>
        <v/>
      </c>
    </row>
    <row r="158">
      <c r="A158" s="21" t="n"/>
      <c r="B158" s="22" t="n"/>
      <c r="C158" s="22" t="n"/>
      <c r="D158" s="35">
        <f>IF($C158="","",IFERROR(VLOOKUP($C158,'2_Control_de_Stock'!$A$11:$N$210,2,0),"⚠️ SKU no existe"))</f>
        <v/>
      </c>
      <c r="E158" s="24" t="n"/>
      <c r="F158" s="33">
        <f>IF($C158="","",IFERROR(VLOOKUP($C158,'2_Control_de_Stock'!$A$11:$N$210,11,0),0))</f>
        <v/>
      </c>
      <c r="G158" s="26">
        <f>IF(OR($C158="",$E158=""),"",$E158*$F158)</f>
        <v/>
      </c>
      <c r="H158" s="22" t="n"/>
      <c r="I158" s="33">
        <f>IF($C158="","",IFERROR($E158*VLOOKUP($C158,'2_Control_de_Stock'!$A$11:$N$210,10,0),0))</f>
        <v/>
      </c>
      <c r="J158" s="36">
        <f>IF($G158="","",$G158-$I158)</f>
        <v/>
      </c>
      <c r="K158" s="37">
        <f>IF($C158="","",IFERROR(VLOOKUP($C158,'2_Control_de_Stock'!$A$11:$N$210,3,0),""))</f>
        <v/>
      </c>
    </row>
    <row r="159">
      <c r="A159" s="21" t="n"/>
      <c r="B159" s="22" t="n"/>
      <c r="C159" s="22" t="n"/>
      <c r="D159" s="35">
        <f>IF($C159="","",IFERROR(VLOOKUP($C159,'2_Control_de_Stock'!$A$11:$N$210,2,0),"⚠️ SKU no existe"))</f>
        <v/>
      </c>
      <c r="E159" s="24" t="n"/>
      <c r="F159" s="33">
        <f>IF($C159="","",IFERROR(VLOOKUP($C159,'2_Control_de_Stock'!$A$11:$N$210,11,0),0))</f>
        <v/>
      </c>
      <c r="G159" s="26">
        <f>IF(OR($C159="",$E159=""),"",$E159*$F159)</f>
        <v/>
      </c>
      <c r="H159" s="22" t="n"/>
      <c r="I159" s="33">
        <f>IF($C159="","",IFERROR($E159*VLOOKUP($C159,'2_Control_de_Stock'!$A$11:$N$210,10,0),0))</f>
        <v/>
      </c>
      <c r="J159" s="36">
        <f>IF($G159="","",$G159-$I159)</f>
        <v/>
      </c>
      <c r="K159" s="37">
        <f>IF($C159="","",IFERROR(VLOOKUP($C159,'2_Control_de_Stock'!$A$11:$N$210,3,0),""))</f>
        <v/>
      </c>
    </row>
    <row r="160">
      <c r="A160" s="21" t="n"/>
      <c r="B160" s="22" t="n"/>
      <c r="C160" s="22" t="n"/>
      <c r="D160" s="35">
        <f>IF($C160="","",IFERROR(VLOOKUP($C160,'2_Control_de_Stock'!$A$11:$N$210,2,0),"⚠️ SKU no existe"))</f>
        <v/>
      </c>
      <c r="E160" s="24" t="n"/>
      <c r="F160" s="33">
        <f>IF($C160="","",IFERROR(VLOOKUP($C160,'2_Control_de_Stock'!$A$11:$N$210,11,0),0))</f>
        <v/>
      </c>
      <c r="G160" s="26">
        <f>IF(OR($C160="",$E160=""),"",$E160*$F160)</f>
        <v/>
      </c>
      <c r="H160" s="22" t="n"/>
      <c r="I160" s="33">
        <f>IF($C160="","",IFERROR($E160*VLOOKUP($C160,'2_Control_de_Stock'!$A$11:$N$210,10,0),0))</f>
        <v/>
      </c>
      <c r="J160" s="36">
        <f>IF($G160="","",$G160-$I160)</f>
        <v/>
      </c>
      <c r="K160" s="37">
        <f>IF($C160="","",IFERROR(VLOOKUP($C160,'2_Control_de_Stock'!$A$11:$N$210,3,0),""))</f>
        <v/>
      </c>
    </row>
    <row r="161">
      <c r="A161" s="21" t="n"/>
      <c r="B161" s="22" t="n"/>
      <c r="C161" s="22" t="n"/>
      <c r="D161" s="35">
        <f>IF($C161="","",IFERROR(VLOOKUP($C161,'2_Control_de_Stock'!$A$11:$N$210,2,0),"⚠️ SKU no existe"))</f>
        <v/>
      </c>
      <c r="E161" s="24" t="n"/>
      <c r="F161" s="33">
        <f>IF($C161="","",IFERROR(VLOOKUP($C161,'2_Control_de_Stock'!$A$11:$N$210,11,0),0))</f>
        <v/>
      </c>
      <c r="G161" s="26">
        <f>IF(OR($C161="",$E161=""),"",$E161*$F161)</f>
        <v/>
      </c>
      <c r="H161" s="22" t="n"/>
      <c r="I161" s="33">
        <f>IF($C161="","",IFERROR($E161*VLOOKUP($C161,'2_Control_de_Stock'!$A$11:$N$210,10,0),0))</f>
        <v/>
      </c>
      <c r="J161" s="36">
        <f>IF($G161="","",$G161-$I161)</f>
        <v/>
      </c>
      <c r="K161" s="37">
        <f>IF($C161="","",IFERROR(VLOOKUP($C161,'2_Control_de_Stock'!$A$11:$N$210,3,0),""))</f>
        <v/>
      </c>
    </row>
    <row r="162">
      <c r="A162" s="21" t="n"/>
      <c r="B162" s="22" t="n"/>
      <c r="C162" s="22" t="n"/>
      <c r="D162" s="35">
        <f>IF($C162="","",IFERROR(VLOOKUP($C162,'2_Control_de_Stock'!$A$11:$N$210,2,0),"⚠️ SKU no existe"))</f>
        <v/>
      </c>
      <c r="E162" s="24" t="n"/>
      <c r="F162" s="33">
        <f>IF($C162="","",IFERROR(VLOOKUP($C162,'2_Control_de_Stock'!$A$11:$N$210,11,0),0))</f>
        <v/>
      </c>
      <c r="G162" s="26">
        <f>IF(OR($C162="",$E162=""),"",$E162*$F162)</f>
        <v/>
      </c>
      <c r="H162" s="22" t="n"/>
      <c r="I162" s="33">
        <f>IF($C162="","",IFERROR($E162*VLOOKUP($C162,'2_Control_de_Stock'!$A$11:$N$210,10,0),0))</f>
        <v/>
      </c>
      <c r="J162" s="36">
        <f>IF($G162="","",$G162-$I162)</f>
        <v/>
      </c>
      <c r="K162" s="37">
        <f>IF($C162="","",IFERROR(VLOOKUP($C162,'2_Control_de_Stock'!$A$11:$N$210,3,0),""))</f>
        <v/>
      </c>
    </row>
    <row r="163">
      <c r="A163" s="21" t="n"/>
      <c r="B163" s="22" t="n"/>
      <c r="C163" s="22" t="n"/>
      <c r="D163" s="35">
        <f>IF($C163="","",IFERROR(VLOOKUP($C163,'2_Control_de_Stock'!$A$11:$N$210,2,0),"⚠️ SKU no existe"))</f>
        <v/>
      </c>
      <c r="E163" s="24" t="n"/>
      <c r="F163" s="33">
        <f>IF($C163="","",IFERROR(VLOOKUP($C163,'2_Control_de_Stock'!$A$11:$N$210,11,0),0))</f>
        <v/>
      </c>
      <c r="G163" s="26">
        <f>IF(OR($C163="",$E163=""),"",$E163*$F163)</f>
        <v/>
      </c>
      <c r="H163" s="22" t="n"/>
      <c r="I163" s="33">
        <f>IF($C163="","",IFERROR($E163*VLOOKUP($C163,'2_Control_de_Stock'!$A$11:$N$210,10,0),0))</f>
        <v/>
      </c>
      <c r="J163" s="36">
        <f>IF($G163="","",$G163-$I163)</f>
        <v/>
      </c>
      <c r="K163" s="37">
        <f>IF($C163="","",IFERROR(VLOOKUP($C163,'2_Control_de_Stock'!$A$11:$N$210,3,0),""))</f>
        <v/>
      </c>
    </row>
    <row r="164">
      <c r="A164" s="21" t="n"/>
      <c r="B164" s="22" t="n"/>
      <c r="C164" s="22" t="n"/>
      <c r="D164" s="35">
        <f>IF($C164="","",IFERROR(VLOOKUP($C164,'2_Control_de_Stock'!$A$11:$N$210,2,0),"⚠️ SKU no existe"))</f>
        <v/>
      </c>
      <c r="E164" s="24" t="n"/>
      <c r="F164" s="33">
        <f>IF($C164="","",IFERROR(VLOOKUP($C164,'2_Control_de_Stock'!$A$11:$N$210,11,0),0))</f>
        <v/>
      </c>
      <c r="G164" s="26">
        <f>IF(OR($C164="",$E164=""),"",$E164*$F164)</f>
        <v/>
      </c>
      <c r="H164" s="22" t="n"/>
      <c r="I164" s="33">
        <f>IF($C164="","",IFERROR($E164*VLOOKUP($C164,'2_Control_de_Stock'!$A$11:$N$210,10,0),0))</f>
        <v/>
      </c>
      <c r="J164" s="36">
        <f>IF($G164="","",$G164-$I164)</f>
        <v/>
      </c>
      <c r="K164" s="37">
        <f>IF($C164="","",IFERROR(VLOOKUP($C164,'2_Control_de_Stock'!$A$11:$N$210,3,0),""))</f>
        <v/>
      </c>
    </row>
    <row r="165">
      <c r="A165" s="21" t="n"/>
      <c r="B165" s="22" t="n"/>
      <c r="C165" s="22" t="n"/>
      <c r="D165" s="35">
        <f>IF($C165="","",IFERROR(VLOOKUP($C165,'2_Control_de_Stock'!$A$11:$N$210,2,0),"⚠️ SKU no existe"))</f>
        <v/>
      </c>
      <c r="E165" s="24" t="n"/>
      <c r="F165" s="33">
        <f>IF($C165="","",IFERROR(VLOOKUP($C165,'2_Control_de_Stock'!$A$11:$N$210,11,0),0))</f>
        <v/>
      </c>
      <c r="G165" s="26">
        <f>IF(OR($C165="",$E165=""),"",$E165*$F165)</f>
        <v/>
      </c>
      <c r="H165" s="22" t="n"/>
      <c r="I165" s="33">
        <f>IF($C165="","",IFERROR($E165*VLOOKUP($C165,'2_Control_de_Stock'!$A$11:$N$210,10,0),0))</f>
        <v/>
      </c>
      <c r="J165" s="36">
        <f>IF($G165="","",$G165-$I165)</f>
        <v/>
      </c>
      <c r="K165" s="37">
        <f>IF($C165="","",IFERROR(VLOOKUP($C165,'2_Control_de_Stock'!$A$11:$N$210,3,0),""))</f>
        <v/>
      </c>
    </row>
    <row r="166">
      <c r="A166" s="21" t="n"/>
      <c r="B166" s="22" t="n"/>
      <c r="C166" s="22" t="n"/>
      <c r="D166" s="35">
        <f>IF($C166="","",IFERROR(VLOOKUP($C166,'2_Control_de_Stock'!$A$11:$N$210,2,0),"⚠️ SKU no existe"))</f>
        <v/>
      </c>
      <c r="E166" s="24" t="n"/>
      <c r="F166" s="33">
        <f>IF($C166="","",IFERROR(VLOOKUP($C166,'2_Control_de_Stock'!$A$11:$N$210,11,0),0))</f>
        <v/>
      </c>
      <c r="G166" s="26">
        <f>IF(OR($C166="",$E166=""),"",$E166*$F166)</f>
        <v/>
      </c>
      <c r="H166" s="22" t="n"/>
      <c r="I166" s="33">
        <f>IF($C166="","",IFERROR($E166*VLOOKUP($C166,'2_Control_de_Stock'!$A$11:$N$210,10,0),0))</f>
        <v/>
      </c>
      <c r="J166" s="36">
        <f>IF($G166="","",$G166-$I166)</f>
        <v/>
      </c>
      <c r="K166" s="37">
        <f>IF($C166="","",IFERROR(VLOOKUP($C166,'2_Control_de_Stock'!$A$11:$N$210,3,0),""))</f>
        <v/>
      </c>
    </row>
    <row r="167">
      <c r="A167" s="21" t="n"/>
      <c r="B167" s="22" t="n"/>
      <c r="C167" s="22" t="n"/>
      <c r="D167" s="35">
        <f>IF($C167="","",IFERROR(VLOOKUP($C167,'2_Control_de_Stock'!$A$11:$N$210,2,0),"⚠️ SKU no existe"))</f>
        <v/>
      </c>
      <c r="E167" s="24" t="n"/>
      <c r="F167" s="33">
        <f>IF($C167="","",IFERROR(VLOOKUP($C167,'2_Control_de_Stock'!$A$11:$N$210,11,0),0))</f>
        <v/>
      </c>
      <c r="G167" s="26">
        <f>IF(OR($C167="",$E167=""),"",$E167*$F167)</f>
        <v/>
      </c>
      <c r="H167" s="22" t="n"/>
      <c r="I167" s="33">
        <f>IF($C167="","",IFERROR($E167*VLOOKUP($C167,'2_Control_de_Stock'!$A$11:$N$210,10,0),0))</f>
        <v/>
      </c>
      <c r="J167" s="36">
        <f>IF($G167="","",$G167-$I167)</f>
        <v/>
      </c>
      <c r="K167" s="37">
        <f>IF($C167="","",IFERROR(VLOOKUP($C167,'2_Control_de_Stock'!$A$11:$N$210,3,0),""))</f>
        <v/>
      </c>
    </row>
    <row r="168">
      <c r="A168" s="21" t="n"/>
      <c r="B168" s="22" t="n"/>
      <c r="C168" s="22" t="n"/>
      <c r="D168" s="35">
        <f>IF($C168="","",IFERROR(VLOOKUP($C168,'2_Control_de_Stock'!$A$11:$N$210,2,0),"⚠️ SKU no existe"))</f>
        <v/>
      </c>
      <c r="E168" s="24" t="n"/>
      <c r="F168" s="33">
        <f>IF($C168="","",IFERROR(VLOOKUP($C168,'2_Control_de_Stock'!$A$11:$N$210,11,0),0))</f>
        <v/>
      </c>
      <c r="G168" s="26">
        <f>IF(OR($C168="",$E168=""),"",$E168*$F168)</f>
        <v/>
      </c>
      <c r="H168" s="22" t="n"/>
      <c r="I168" s="33">
        <f>IF($C168="","",IFERROR($E168*VLOOKUP($C168,'2_Control_de_Stock'!$A$11:$N$210,10,0),0))</f>
        <v/>
      </c>
      <c r="J168" s="36">
        <f>IF($G168="","",$G168-$I168)</f>
        <v/>
      </c>
      <c r="K168" s="37">
        <f>IF($C168="","",IFERROR(VLOOKUP($C168,'2_Control_de_Stock'!$A$11:$N$210,3,0),""))</f>
        <v/>
      </c>
    </row>
    <row r="169">
      <c r="A169" s="21" t="n"/>
      <c r="B169" s="22" t="n"/>
      <c r="C169" s="22" t="n"/>
      <c r="D169" s="35">
        <f>IF($C169="","",IFERROR(VLOOKUP($C169,'2_Control_de_Stock'!$A$11:$N$210,2,0),"⚠️ SKU no existe"))</f>
        <v/>
      </c>
      <c r="E169" s="24" t="n"/>
      <c r="F169" s="33">
        <f>IF($C169="","",IFERROR(VLOOKUP($C169,'2_Control_de_Stock'!$A$11:$N$210,11,0),0))</f>
        <v/>
      </c>
      <c r="G169" s="26">
        <f>IF(OR($C169="",$E169=""),"",$E169*$F169)</f>
        <v/>
      </c>
      <c r="H169" s="22" t="n"/>
      <c r="I169" s="33">
        <f>IF($C169="","",IFERROR($E169*VLOOKUP($C169,'2_Control_de_Stock'!$A$11:$N$210,10,0),0))</f>
        <v/>
      </c>
      <c r="J169" s="36">
        <f>IF($G169="","",$G169-$I169)</f>
        <v/>
      </c>
      <c r="K169" s="37">
        <f>IF($C169="","",IFERROR(VLOOKUP($C169,'2_Control_de_Stock'!$A$11:$N$210,3,0),""))</f>
        <v/>
      </c>
    </row>
    <row r="170">
      <c r="A170" s="21" t="n"/>
      <c r="B170" s="22" t="n"/>
      <c r="C170" s="22" t="n"/>
      <c r="D170" s="35">
        <f>IF($C170="","",IFERROR(VLOOKUP($C170,'2_Control_de_Stock'!$A$11:$N$210,2,0),"⚠️ SKU no existe"))</f>
        <v/>
      </c>
      <c r="E170" s="24" t="n"/>
      <c r="F170" s="33">
        <f>IF($C170="","",IFERROR(VLOOKUP($C170,'2_Control_de_Stock'!$A$11:$N$210,11,0),0))</f>
        <v/>
      </c>
      <c r="G170" s="26">
        <f>IF(OR($C170="",$E170=""),"",$E170*$F170)</f>
        <v/>
      </c>
      <c r="H170" s="22" t="n"/>
      <c r="I170" s="33">
        <f>IF($C170="","",IFERROR($E170*VLOOKUP($C170,'2_Control_de_Stock'!$A$11:$N$210,10,0),0))</f>
        <v/>
      </c>
      <c r="J170" s="36">
        <f>IF($G170="","",$G170-$I170)</f>
        <v/>
      </c>
      <c r="K170" s="37">
        <f>IF($C170="","",IFERROR(VLOOKUP($C170,'2_Control_de_Stock'!$A$11:$N$210,3,0),""))</f>
        <v/>
      </c>
    </row>
    <row r="171">
      <c r="A171" s="21" t="n"/>
      <c r="B171" s="22" t="n"/>
      <c r="C171" s="22" t="n"/>
      <c r="D171" s="35">
        <f>IF($C171="","",IFERROR(VLOOKUP($C171,'2_Control_de_Stock'!$A$11:$N$210,2,0),"⚠️ SKU no existe"))</f>
        <v/>
      </c>
      <c r="E171" s="24" t="n"/>
      <c r="F171" s="33">
        <f>IF($C171="","",IFERROR(VLOOKUP($C171,'2_Control_de_Stock'!$A$11:$N$210,11,0),0))</f>
        <v/>
      </c>
      <c r="G171" s="26">
        <f>IF(OR($C171="",$E171=""),"",$E171*$F171)</f>
        <v/>
      </c>
      <c r="H171" s="22" t="n"/>
      <c r="I171" s="33">
        <f>IF($C171="","",IFERROR($E171*VLOOKUP($C171,'2_Control_de_Stock'!$A$11:$N$210,10,0),0))</f>
        <v/>
      </c>
      <c r="J171" s="36">
        <f>IF($G171="","",$G171-$I171)</f>
        <v/>
      </c>
      <c r="K171" s="37">
        <f>IF($C171="","",IFERROR(VLOOKUP($C171,'2_Control_de_Stock'!$A$11:$N$210,3,0),""))</f>
        <v/>
      </c>
    </row>
    <row r="172">
      <c r="A172" s="21" t="n"/>
      <c r="B172" s="22" t="n"/>
      <c r="C172" s="22" t="n"/>
      <c r="D172" s="35">
        <f>IF($C172="","",IFERROR(VLOOKUP($C172,'2_Control_de_Stock'!$A$11:$N$210,2,0),"⚠️ SKU no existe"))</f>
        <v/>
      </c>
      <c r="E172" s="24" t="n"/>
      <c r="F172" s="33">
        <f>IF($C172="","",IFERROR(VLOOKUP($C172,'2_Control_de_Stock'!$A$11:$N$210,11,0),0))</f>
        <v/>
      </c>
      <c r="G172" s="26">
        <f>IF(OR($C172="",$E172=""),"",$E172*$F172)</f>
        <v/>
      </c>
      <c r="H172" s="22" t="n"/>
      <c r="I172" s="33">
        <f>IF($C172="","",IFERROR($E172*VLOOKUP($C172,'2_Control_de_Stock'!$A$11:$N$210,10,0),0))</f>
        <v/>
      </c>
      <c r="J172" s="36">
        <f>IF($G172="","",$G172-$I172)</f>
        <v/>
      </c>
      <c r="K172" s="37">
        <f>IF($C172="","",IFERROR(VLOOKUP($C172,'2_Control_de_Stock'!$A$11:$N$210,3,0),""))</f>
        <v/>
      </c>
    </row>
    <row r="173">
      <c r="A173" s="21" t="n"/>
      <c r="B173" s="22" t="n"/>
      <c r="C173" s="22" t="n"/>
      <c r="D173" s="35">
        <f>IF($C173="","",IFERROR(VLOOKUP($C173,'2_Control_de_Stock'!$A$11:$N$210,2,0),"⚠️ SKU no existe"))</f>
        <v/>
      </c>
      <c r="E173" s="24" t="n"/>
      <c r="F173" s="33">
        <f>IF($C173="","",IFERROR(VLOOKUP($C173,'2_Control_de_Stock'!$A$11:$N$210,11,0),0))</f>
        <v/>
      </c>
      <c r="G173" s="26">
        <f>IF(OR($C173="",$E173=""),"",$E173*$F173)</f>
        <v/>
      </c>
      <c r="H173" s="22" t="n"/>
      <c r="I173" s="33">
        <f>IF($C173="","",IFERROR($E173*VLOOKUP($C173,'2_Control_de_Stock'!$A$11:$N$210,10,0),0))</f>
        <v/>
      </c>
      <c r="J173" s="36">
        <f>IF($G173="","",$G173-$I173)</f>
        <v/>
      </c>
      <c r="K173" s="37">
        <f>IF($C173="","",IFERROR(VLOOKUP($C173,'2_Control_de_Stock'!$A$11:$N$210,3,0),""))</f>
        <v/>
      </c>
    </row>
    <row r="174">
      <c r="A174" s="21" t="n"/>
      <c r="B174" s="22" t="n"/>
      <c r="C174" s="22" t="n"/>
      <c r="D174" s="35">
        <f>IF($C174="","",IFERROR(VLOOKUP($C174,'2_Control_de_Stock'!$A$11:$N$210,2,0),"⚠️ SKU no existe"))</f>
        <v/>
      </c>
      <c r="E174" s="24" t="n"/>
      <c r="F174" s="33">
        <f>IF($C174="","",IFERROR(VLOOKUP($C174,'2_Control_de_Stock'!$A$11:$N$210,11,0),0))</f>
        <v/>
      </c>
      <c r="G174" s="26">
        <f>IF(OR($C174="",$E174=""),"",$E174*$F174)</f>
        <v/>
      </c>
      <c r="H174" s="22" t="n"/>
      <c r="I174" s="33">
        <f>IF($C174="","",IFERROR($E174*VLOOKUP($C174,'2_Control_de_Stock'!$A$11:$N$210,10,0),0))</f>
        <v/>
      </c>
      <c r="J174" s="36">
        <f>IF($G174="","",$G174-$I174)</f>
        <v/>
      </c>
      <c r="K174" s="37">
        <f>IF($C174="","",IFERROR(VLOOKUP($C174,'2_Control_de_Stock'!$A$11:$N$210,3,0),""))</f>
        <v/>
      </c>
    </row>
    <row r="175">
      <c r="A175" s="21" t="n"/>
      <c r="B175" s="22" t="n"/>
      <c r="C175" s="22" t="n"/>
      <c r="D175" s="35">
        <f>IF($C175="","",IFERROR(VLOOKUP($C175,'2_Control_de_Stock'!$A$11:$N$210,2,0),"⚠️ SKU no existe"))</f>
        <v/>
      </c>
      <c r="E175" s="24" t="n"/>
      <c r="F175" s="33">
        <f>IF($C175="","",IFERROR(VLOOKUP($C175,'2_Control_de_Stock'!$A$11:$N$210,11,0),0))</f>
        <v/>
      </c>
      <c r="G175" s="26">
        <f>IF(OR($C175="",$E175=""),"",$E175*$F175)</f>
        <v/>
      </c>
      <c r="H175" s="22" t="n"/>
      <c r="I175" s="33">
        <f>IF($C175="","",IFERROR($E175*VLOOKUP($C175,'2_Control_de_Stock'!$A$11:$N$210,10,0),0))</f>
        <v/>
      </c>
      <c r="J175" s="36">
        <f>IF($G175="","",$G175-$I175)</f>
        <v/>
      </c>
      <c r="K175" s="37">
        <f>IF($C175="","",IFERROR(VLOOKUP($C175,'2_Control_de_Stock'!$A$11:$N$210,3,0),""))</f>
        <v/>
      </c>
    </row>
    <row r="176">
      <c r="A176" s="21" t="n"/>
      <c r="B176" s="22" t="n"/>
      <c r="C176" s="22" t="n"/>
      <c r="D176" s="35">
        <f>IF($C176="","",IFERROR(VLOOKUP($C176,'2_Control_de_Stock'!$A$11:$N$210,2,0),"⚠️ SKU no existe"))</f>
        <v/>
      </c>
      <c r="E176" s="24" t="n"/>
      <c r="F176" s="33">
        <f>IF($C176="","",IFERROR(VLOOKUP($C176,'2_Control_de_Stock'!$A$11:$N$210,11,0),0))</f>
        <v/>
      </c>
      <c r="G176" s="26">
        <f>IF(OR($C176="",$E176=""),"",$E176*$F176)</f>
        <v/>
      </c>
      <c r="H176" s="22" t="n"/>
      <c r="I176" s="33">
        <f>IF($C176="","",IFERROR($E176*VLOOKUP($C176,'2_Control_de_Stock'!$A$11:$N$210,10,0),0))</f>
        <v/>
      </c>
      <c r="J176" s="36">
        <f>IF($G176="","",$G176-$I176)</f>
        <v/>
      </c>
      <c r="K176" s="37">
        <f>IF($C176="","",IFERROR(VLOOKUP($C176,'2_Control_de_Stock'!$A$11:$N$210,3,0),""))</f>
        <v/>
      </c>
    </row>
    <row r="177">
      <c r="A177" s="21" t="n"/>
      <c r="B177" s="22" t="n"/>
      <c r="C177" s="22" t="n"/>
      <c r="D177" s="35">
        <f>IF($C177="","",IFERROR(VLOOKUP($C177,'2_Control_de_Stock'!$A$11:$N$210,2,0),"⚠️ SKU no existe"))</f>
        <v/>
      </c>
      <c r="E177" s="24" t="n"/>
      <c r="F177" s="33">
        <f>IF($C177="","",IFERROR(VLOOKUP($C177,'2_Control_de_Stock'!$A$11:$N$210,11,0),0))</f>
        <v/>
      </c>
      <c r="G177" s="26">
        <f>IF(OR($C177="",$E177=""),"",$E177*$F177)</f>
        <v/>
      </c>
      <c r="H177" s="22" t="n"/>
      <c r="I177" s="33">
        <f>IF($C177="","",IFERROR($E177*VLOOKUP($C177,'2_Control_de_Stock'!$A$11:$N$210,10,0),0))</f>
        <v/>
      </c>
      <c r="J177" s="36">
        <f>IF($G177="","",$G177-$I177)</f>
        <v/>
      </c>
      <c r="K177" s="37">
        <f>IF($C177="","",IFERROR(VLOOKUP($C177,'2_Control_de_Stock'!$A$11:$N$210,3,0),""))</f>
        <v/>
      </c>
    </row>
    <row r="178">
      <c r="A178" s="21" t="n"/>
      <c r="B178" s="22" t="n"/>
      <c r="C178" s="22" t="n"/>
      <c r="D178" s="35">
        <f>IF($C178="","",IFERROR(VLOOKUP($C178,'2_Control_de_Stock'!$A$11:$N$210,2,0),"⚠️ SKU no existe"))</f>
        <v/>
      </c>
      <c r="E178" s="24" t="n"/>
      <c r="F178" s="33">
        <f>IF($C178="","",IFERROR(VLOOKUP($C178,'2_Control_de_Stock'!$A$11:$N$210,11,0),0))</f>
        <v/>
      </c>
      <c r="G178" s="26">
        <f>IF(OR($C178="",$E178=""),"",$E178*$F178)</f>
        <v/>
      </c>
      <c r="H178" s="22" t="n"/>
      <c r="I178" s="33">
        <f>IF($C178="","",IFERROR($E178*VLOOKUP($C178,'2_Control_de_Stock'!$A$11:$N$210,10,0),0))</f>
        <v/>
      </c>
      <c r="J178" s="36">
        <f>IF($G178="","",$G178-$I178)</f>
        <v/>
      </c>
      <c r="K178" s="37">
        <f>IF($C178="","",IFERROR(VLOOKUP($C178,'2_Control_de_Stock'!$A$11:$N$210,3,0),""))</f>
        <v/>
      </c>
    </row>
    <row r="179">
      <c r="A179" s="21" t="n"/>
      <c r="B179" s="22" t="n"/>
      <c r="C179" s="22" t="n"/>
      <c r="D179" s="35">
        <f>IF($C179="","",IFERROR(VLOOKUP($C179,'2_Control_de_Stock'!$A$11:$N$210,2,0),"⚠️ SKU no existe"))</f>
        <v/>
      </c>
      <c r="E179" s="24" t="n"/>
      <c r="F179" s="33">
        <f>IF($C179="","",IFERROR(VLOOKUP($C179,'2_Control_de_Stock'!$A$11:$N$210,11,0),0))</f>
        <v/>
      </c>
      <c r="G179" s="26">
        <f>IF(OR($C179="",$E179=""),"",$E179*$F179)</f>
        <v/>
      </c>
      <c r="H179" s="22" t="n"/>
      <c r="I179" s="33">
        <f>IF($C179="","",IFERROR($E179*VLOOKUP($C179,'2_Control_de_Stock'!$A$11:$N$210,10,0),0))</f>
        <v/>
      </c>
      <c r="J179" s="36">
        <f>IF($G179="","",$G179-$I179)</f>
        <v/>
      </c>
      <c r="K179" s="37">
        <f>IF($C179="","",IFERROR(VLOOKUP($C179,'2_Control_de_Stock'!$A$11:$N$210,3,0),""))</f>
        <v/>
      </c>
    </row>
    <row r="180">
      <c r="A180" s="21" t="n"/>
      <c r="B180" s="22" t="n"/>
      <c r="C180" s="22" t="n"/>
      <c r="D180" s="35">
        <f>IF($C180="","",IFERROR(VLOOKUP($C180,'2_Control_de_Stock'!$A$11:$N$210,2,0),"⚠️ SKU no existe"))</f>
        <v/>
      </c>
      <c r="E180" s="24" t="n"/>
      <c r="F180" s="33">
        <f>IF($C180="","",IFERROR(VLOOKUP($C180,'2_Control_de_Stock'!$A$11:$N$210,11,0),0))</f>
        <v/>
      </c>
      <c r="G180" s="26">
        <f>IF(OR($C180="",$E180=""),"",$E180*$F180)</f>
        <v/>
      </c>
      <c r="H180" s="22" t="n"/>
      <c r="I180" s="33">
        <f>IF($C180="","",IFERROR($E180*VLOOKUP($C180,'2_Control_de_Stock'!$A$11:$N$210,10,0),0))</f>
        <v/>
      </c>
      <c r="J180" s="36">
        <f>IF($G180="","",$G180-$I180)</f>
        <v/>
      </c>
      <c r="K180" s="37">
        <f>IF($C180="","",IFERROR(VLOOKUP($C180,'2_Control_de_Stock'!$A$11:$N$210,3,0),""))</f>
        <v/>
      </c>
    </row>
    <row r="181">
      <c r="A181" s="21" t="n"/>
      <c r="B181" s="22" t="n"/>
      <c r="C181" s="22" t="n"/>
      <c r="D181" s="35">
        <f>IF($C181="","",IFERROR(VLOOKUP($C181,'2_Control_de_Stock'!$A$11:$N$210,2,0),"⚠️ SKU no existe"))</f>
        <v/>
      </c>
      <c r="E181" s="24" t="n"/>
      <c r="F181" s="33">
        <f>IF($C181="","",IFERROR(VLOOKUP($C181,'2_Control_de_Stock'!$A$11:$N$210,11,0),0))</f>
        <v/>
      </c>
      <c r="G181" s="26">
        <f>IF(OR($C181="",$E181=""),"",$E181*$F181)</f>
        <v/>
      </c>
      <c r="H181" s="22" t="n"/>
      <c r="I181" s="33">
        <f>IF($C181="","",IFERROR($E181*VLOOKUP($C181,'2_Control_de_Stock'!$A$11:$N$210,10,0),0))</f>
        <v/>
      </c>
      <c r="J181" s="36">
        <f>IF($G181="","",$G181-$I181)</f>
        <v/>
      </c>
      <c r="K181" s="37">
        <f>IF($C181="","",IFERROR(VLOOKUP($C181,'2_Control_de_Stock'!$A$11:$N$210,3,0),""))</f>
        <v/>
      </c>
    </row>
    <row r="182">
      <c r="A182" s="21" t="n"/>
      <c r="B182" s="22" t="n"/>
      <c r="C182" s="22" t="n"/>
      <c r="D182" s="35">
        <f>IF($C182="","",IFERROR(VLOOKUP($C182,'2_Control_de_Stock'!$A$11:$N$210,2,0),"⚠️ SKU no existe"))</f>
        <v/>
      </c>
      <c r="E182" s="24" t="n"/>
      <c r="F182" s="33">
        <f>IF($C182="","",IFERROR(VLOOKUP($C182,'2_Control_de_Stock'!$A$11:$N$210,11,0),0))</f>
        <v/>
      </c>
      <c r="G182" s="26">
        <f>IF(OR($C182="",$E182=""),"",$E182*$F182)</f>
        <v/>
      </c>
      <c r="H182" s="22" t="n"/>
      <c r="I182" s="33">
        <f>IF($C182="","",IFERROR($E182*VLOOKUP($C182,'2_Control_de_Stock'!$A$11:$N$210,10,0),0))</f>
        <v/>
      </c>
      <c r="J182" s="36">
        <f>IF($G182="","",$G182-$I182)</f>
        <v/>
      </c>
      <c r="K182" s="37">
        <f>IF($C182="","",IFERROR(VLOOKUP($C182,'2_Control_de_Stock'!$A$11:$N$210,3,0),""))</f>
        <v/>
      </c>
    </row>
    <row r="183">
      <c r="A183" s="21" t="n"/>
      <c r="B183" s="22" t="n"/>
      <c r="C183" s="22" t="n"/>
      <c r="D183" s="35">
        <f>IF($C183="","",IFERROR(VLOOKUP($C183,'2_Control_de_Stock'!$A$11:$N$210,2,0),"⚠️ SKU no existe"))</f>
        <v/>
      </c>
      <c r="E183" s="24" t="n"/>
      <c r="F183" s="33">
        <f>IF($C183="","",IFERROR(VLOOKUP($C183,'2_Control_de_Stock'!$A$11:$N$210,11,0),0))</f>
        <v/>
      </c>
      <c r="G183" s="26">
        <f>IF(OR($C183="",$E183=""),"",$E183*$F183)</f>
        <v/>
      </c>
      <c r="H183" s="22" t="n"/>
      <c r="I183" s="33">
        <f>IF($C183="","",IFERROR($E183*VLOOKUP($C183,'2_Control_de_Stock'!$A$11:$N$210,10,0),0))</f>
        <v/>
      </c>
      <c r="J183" s="36">
        <f>IF($G183="","",$G183-$I183)</f>
        <v/>
      </c>
      <c r="K183" s="37">
        <f>IF($C183="","",IFERROR(VLOOKUP($C183,'2_Control_de_Stock'!$A$11:$N$210,3,0),""))</f>
        <v/>
      </c>
    </row>
    <row r="184">
      <c r="A184" s="21" t="n"/>
      <c r="B184" s="22" t="n"/>
      <c r="C184" s="22" t="n"/>
      <c r="D184" s="35">
        <f>IF($C184="","",IFERROR(VLOOKUP($C184,'2_Control_de_Stock'!$A$11:$N$210,2,0),"⚠️ SKU no existe"))</f>
        <v/>
      </c>
      <c r="E184" s="24" t="n"/>
      <c r="F184" s="33">
        <f>IF($C184="","",IFERROR(VLOOKUP($C184,'2_Control_de_Stock'!$A$11:$N$210,11,0),0))</f>
        <v/>
      </c>
      <c r="G184" s="26">
        <f>IF(OR($C184="",$E184=""),"",$E184*$F184)</f>
        <v/>
      </c>
      <c r="H184" s="22" t="n"/>
      <c r="I184" s="33">
        <f>IF($C184="","",IFERROR($E184*VLOOKUP($C184,'2_Control_de_Stock'!$A$11:$N$210,10,0),0))</f>
        <v/>
      </c>
      <c r="J184" s="36">
        <f>IF($G184="","",$G184-$I184)</f>
        <v/>
      </c>
      <c r="K184" s="37">
        <f>IF($C184="","",IFERROR(VLOOKUP($C184,'2_Control_de_Stock'!$A$11:$N$210,3,0),""))</f>
        <v/>
      </c>
    </row>
    <row r="185">
      <c r="A185" s="21" t="n"/>
      <c r="B185" s="22" t="n"/>
      <c r="C185" s="22" t="n"/>
      <c r="D185" s="35">
        <f>IF($C185="","",IFERROR(VLOOKUP($C185,'2_Control_de_Stock'!$A$11:$N$210,2,0),"⚠️ SKU no existe"))</f>
        <v/>
      </c>
      <c r="E185" s="24" t="n"/>
      <c r="F185" s="33">
        <f>IF($C185="","",IFERROR(VLOOKUP($C185,'2_Control_de_Stock'!$A$11:$N$210,11,0),0))</f>
        <v/>
      </c>
      <c r="G185" s="26">
        <f>IF(OR($C185="",$E185=""),"",$E185*$F185)</f>
        <v/>
      </c>
      <c r="H185" s="22" t="n"/>
      <c r="I185" s="33">
        <f>IF($C185="","",IFERROR($E185*VLOOKUP($C185,'2_Control_de_Stock'!$A$11:$N$210,10,0),0))</f>
        <v/>
      </c>
      <c r="J185" s="36">
        <f>IF($G185="","",$G185-$I185)</f>
        <v/>
      </c>
      <c r="K185" s="37">
        <f>IF($C185="","",IFERROR(VLOOKUP($C185,'2_Control_de_Stock'!$A$11:$N$210,3,0),""))</f>
        <v/>
      </c>
    </row>
    <row r="186">
      <c r="A186" s="21" t="n"/>
      <c r="B186" s="22" t="n"/>
      <c r="C186" s="22" t="n"/>
      <c r="D186" s="35">
        <f>IF($C186="","",IFERROR(VLOOKUP($C186,'2_Control_de_Stock'!$A$11:$N$210,2,0),"⚠️ SKU no existe"))</f>
        <v/>
      </c>
      <c r="E186" s="24" t="n"/>
      <c r="F186" s="33">
        <f>IF($C186="","",IFERROR(VLOOKUP($C186,'2_Control_de_Stock'!$A$11:$N$210,11,0),0))</f>
        <v/>
      </c>
      <c r="G186" s="26">
        <f>IF(OR($C186="",$E186=""),"",$E186*$F186)</f>
        <v/>
      </c>
      <c r="H186" s="22" t="n"/>
      <c r="I186" s="33">
        <f>IF($C186="","",IFERROR($E186*VLOOKUP($C186,'2_Control_de_Stock'!$A$11:$N$210,10,0),0))</f>
        <v/>
      </c>
      <c r="J186" s="36">
        <f>IF($G186="","",$G186-$I186)</f>
        <v/>
      </c>
      <c r="K186" s="37">
        <f>IF($C186="","",IFERROR(VLOOKUP($C186,'2_Control_de_Stock'!$A$11:$N$210,3,0),""))</f>
        <v/>
      </c>
    </row>
    <row r="187">
      <c r="A187" s="21" t="n"/>
      <c r="B187" s="22" t="n"/>
      <c r="C187" s="22" t="n"/>
      <c r="D187" s="35">
        <f>IF($C187="","",IFERROR(VLOOKUP($C187,'2_Control_de_Stock'!$A$11:$N$210,2,0),"⚠️ SKU no existe"))</f>
        <v/>
      </c>
      <c r="E187" s="24" t="n"/>
      <c r="F187" s="33">
        <f>IF($C187="","",IFERROR(VLOOKUP($C187,'2_Control_de_Stock'!$A$11:$N$210,11,0),0))</f>
        <v/>
      </c>
      <c r="G187" s="26">
        <f>IF(OR($C187="",$E187=""),"",$E187*$F187)</f>
        <v/>
      </c>
      <c r="H187" s="22" t="n"/>
      <c r="I187" s="33">
        <f>IF($C187="","",IFERROR($E187*VLOOKUP($C187,'2_Control_de_Stock'!$A$11:$N$210,10,0),0))</f>
        <v/>
      </c>
      <c r="J187" s="36">
        <f>IF($G187="","",$G187-$I187)</f>
        <v/>
      </c>
      <c r="K187" s="37">
        <f>IF($C187="","",IFERROR(VLOOKUP($C187,'2_Control_de_Stock'!$A$11:$N$210,3,0),""))</f>
        <v/>
      </c>
    </row>
    <row r="188">
      <c r="A188" s="21" t="n"/>
      <c r="B188" s="22" t="n"/>
      <c r="C188" s="22" t="n"/>
      <c r="D188" s="35">
        <f>IF($C188="","",IFERROR(VLOOKUP($C188,'2_Control_de_Stock'!$A$11:$N$210,2,0),"⚠️ SKU no existe"))</f>
        <v/>
      </c>
      <c r="E188" s="24" t="n"/>
      <c r="F188" s="33">
        <f>IF($C188="","",IFERROR(VLOOKUP($C188,'2_Control_de_Stock'!$A$11:$N$210,11,0),0))</f>
        <v/>
      </c>
      <c r="G188" s="26">
        <f>IF(OR($C188="",$E188=""),"",$E188*$F188)</f>
        <v/>
      </c>
      <c r="H188" s="22" t="n"/>
      <c r="I188" s="33">
        <f>IF($C188="","",IFERROR($E188*VLOOKUP($C188,'2_Control_de_Stock'!$A$11:$N$210,10,0),0))</f>
        <v/>
      </c>
      <c r="J188" s="36">
        <f>IF($G188="","",$G188-$I188)</f>
        <v/>
      </c>
      <c r="K188" s="37">
        <f>IF($C188="","",IFERROR(VLOOKUP($C188,'2_Control_de_Stock'!$A$11:$N$210,3,0),""))</f>
        <v/>
      </c>
    </row>
    <row r="189">
      <c r="A189" s="21" t="n"/>
      <c r="B189" s="22" t="n"/>
      <c r="C189" s="22" t="n"/>
      <c r="D189" s="35">
        <f>IF($C189="","",IFERROR(VLOOKUP($C189,'2_Control_de_Stock'!$A$11:$N$210,2,0),"⚠️ SKU no existe"))</f>
        <v/>
      </c>
      <c r="E189" s="24" t="n"/>
      <c r="F189" s="33">
        <f>IF($C189="","",IFERROR(VLOOKUP($C189,'2_Control_de_Stock'!$A$11:$N$210,11,0),0))</f>
        <v/>
      </c>
      <c r="G189" s="26">
        <f>IF(OR($C189="",$E189=""),"",$E189*$F189)</f>
        <v/>
      </c>
      <c r="H189" s="22" t="n"/>
      <c r="I189" s="33">
        <f>IF($C189="","",IFERROR($E189*VLOOKUP($C189,'2_Control_de_Stock'!$A$11:$N$210,10,0),0))</f>
        <v/>
      </c>
      <c r="J189" s="36">
        <f>IF($G189="","",$G189-$I189)</f>
        <v/>
      </c>
      <c r="K189" s="37">
        <f>IF($C189="","",IFERROR(VLOOKUP($C189,'2_Control_de_Stock'!$A$11:$N$210,3,0),""))</f>
        <v/>
      </c>
    </row>
    <row r="190">
      <c r="A190" s="21" t="n"/>
      <c r="B190" s="22" t="n"/>
      <c r="C190" s="22" t="n"/>
      <c r="D190" s="35">
        <f>IF($C190="","",IFERROR(VLOOKUP($C190,'2_Control_de_Stock'!$A$11:$N$210,2,0),"⚠️ SKU no existe"))</f>
        <v/>
      </c>
      <c r="E190" s="24" t="n"/>
      <c r="F190" s="33">
        <f>IF($C190="","",IFERROR(VLOOKUP($C190,'2_Control_de_Stock'!$A$11:$N$210,11,0),0))</f>
        <v/>
      </c>
      <c r="G190" s="26">
        <f>IF(OR($C190="",$E190=""),"",$E190*$F190)</f>
        <v/>
      </c>
      <c r="H190" s="22" t="n"/>
      <c r="I190" s="33">
        <f>IF($C190="","",IFERROR($E190*VLOOKUP($C190,'2_Control_de_Stock'!$A$11:$N$210,10,0),0))</f>
        <v/>
      </c>
      <c r="J190" s="36">
        <f>IF($G190="","",$G190-$I190)</f>
        <v/>
      </c>
      <c r="K190" s="37">
        <f>IF($C190="","",IFERROR(VLOOKUP($C190,'2_Control_de_Stock'!$A$11:$N$210,3,0),""))</f>
        <v/>
      </c>
    </row>
    <row r="191">
      <c r="A191" s="21" t="n"/>
      <c r="B191" s="22" t="n"/>
      <c r="C191" s="22" t="n"/>
      <c r="D191" s="35">
        <f>IF($C191="","",IFERROR(VLOOKUP($C191,'2_Control_de_Stock'!$A$11:$N$210,2,0),"⚠️ SKU no existe"))</f>
        <v/>
      </c>
      <c r="E191" s="24" t="n"/>
      <c r="F191" s="33">
        <f>IF($C191="","",IFERROR(VLOOKUP($C191,'2_Control_de_Stock'!$A$11:$N$210,11,0),0))</f>
        <v/>
      </c>
      <c r="G191" s="26">
        <f>IF(OR($C191="",$E191=""),"",$E191*$F191)</f>
        <v/>
      </c>
      <c r="H191" s="22" t="n"/>
      <c r="I191" s="33">
        <f>IF($C191="","",IFERROR($E191*VLOOKUP($C191,'2_Control_de_Stock'!$A$11:$N$210,10,0),0))</f>
        <v/>
      </c>
      <c r="J191" s="36">
        <f>IF($G191="","",$G191-$I191)</f>
        <v/>
      </c>
      <c r="K191" s="37">
        <f>IF($C191="","",IFERROR(VLOOKUP($C191,'2_Control_de_Stock'!$A$11:$N$210,3,0),""))</f>
        <v/>
      </c>
    </row>
    <row r="192">
      <c r="A192" s="21" t="n"/>
      <c r="B192" s="22" t="n"/>
      <c r="C192" s="22" t="n"/>
      <c r="D192" s="35">
        <f>IF($C192="","",IFERROR(VLOOKUP($C192,'2_Control_de_Stock'!$A$11:$N$210,2,0),"⚠️ SKU no existe"))</f>
        <v/>
      </c>
      <c r="E192" s="24" t="n"/>
      <c r="F192" s="33">
        <f>IF($C192="","",IFERROR(VLOOKUP($C192,'2_Control_de_Stock'!$A$11:$N$210,11,0),0))</f>
        <v/>
      </c>
      <c r="G192" s="26">
        <f>IF(OR($C192="",$E192=""),"",$E192*$F192)</f>
        <v/>
      </c>
      <c r="H192" s="22" t="n"/>
      <c r="I192" s="33">
        <f>IF($C192="","",IFERROR($E192*VLOOKUP($C192,'2_Control_de_Stock'!$A$11:$N$210,10,0),0))</f>
        <v/>
      </c>
      <c r="J192" s="36">
        <f>IF($G192="","",$G192-$I192)</f>
        <v/>
      </c>
      <c r="K192" s="37">
        <f>IF($C192="","",IFERROR(VLOOKUP($C192,'2_Control_de_Stock'!$A$11:$N$210,3,0),""))</f>
        <v/>
      </c>
    </row>
    <row r="193">
      <c r="A193" s="21" t="n"/>
      <c r="B193" s="22" t="n"/>
      <c r="C193" s="22" t="n"/>
      <c r="D193" s="35">
        <f>IF($C193="","",IFERROR(VLOOKUP($C193,'2_Control_de_Stock'!$A$11:$N$210,2,0),"⚠️ SKU no existe"))</f>
        <v/>
      </c>
      <c r="E193" s="24" t="n"/>
      <c r="F193" s="33">
        <f>IF($C193="","",IFERROR(VLOOKUP($C193,'2_Control_de_Stock'!$A$11:$N$210,11,0),0))</f>
        <v/>
      </c>
      <c r="G193" s="26">
        <f>IF(OR($C193="",$E193=""),"",$E193*$F193)</f>
        <v/>
      </c>
      <c r="H193" s="22" t="n"/>
      <c r="I193" s="33">
        <f>IF($C193="","",IFERROR($E193*VLOOKUP($C193,'2_Control_de_Stock'!$A$11:$N$210,10,0),0))</f>
        <v/>
      </c>
      <c r="J193" s="36">
        <f>IF($G193="","",$G193-$I193)</f>
        <v/>
      </c>
      <c r="K193" s="37">
        <f>IF($C193="","",IFERROR(VLOOKUP($C193,'2_Control_de_Stock'!$A$11:$N$210,3,0),""))</f>
        <v/>
      </c>
    </row>
    <row r="194">
      <c r="A194" s="21" t="n"/>
      <c r="B194" s="22" t="n"/>
      <c r="C194" s="22" t="n"/>
      <c r="D194" s="35">
        <f>IF($C194="","",IFERROR(VLOOKUP($C194,'2_Control_de_Stock'!$A$11:$N$210,2,0),"⚠️ SKU no existe"))</f>
        <v/>
      </c>
      <c r="E194" s="24" t="n"/>
      <c r="F194" s="33">
        <f>IF($C194="","",IFERROR(VLOOKUP($C194,'2_Control_de_Stock'!$A$11:$N$210,11,0),0))</f>
        <v/>
      </c>
      <c r="G194" s="26">
        <f>IF(OR($C194="",$E194=""),"",$E194*$F194)</f>
        <v/>
      </c>
      <c r="H194" s="22" t="n"/>
      <c r="I194" s="33">
        <f>IF($C194="","",IFERROR($E194*VLOOKUP($C194,'2_Control_de_Stock'!$A$11:$N$210,10,0),0))</f>
        <v/>
      </c>
      <c r="J194" s="36">
        <f>IF($G194="","",$G194-$I194)</f>
        <v/>
      </c>
      <c r="K194" s="37">
        <f>IF($C194="","",IFERROR(VLOOKUP($C194,'2_Control_de_Stock'!$A$11:$N$210,3,0),""))</f>
        <v/>
      </c>
    </row>
    <row r="195">
      <c r="A195" s="21" t="n"/>
      <c r="B195" s="22" t="n"/>
      <c r="C195" s="22" t="n"/>
      <c r="D195" s="35">
        <f>IF($C195="","",IFERROR(VLOOKUP($C195,'2_Control_de_Stock'!$A$11:$N$210,2,0),"⚠️ SKU no existe"))</f>
        <v/>
      </c>
      <c r="E195" s="24" t="n"/>
      <c r="F195" s="33">
        <f>IF($C195="","",IFERROR(VLOOKUP($C195,'2_Control_de_Stock'!$A$11:$N$210,11,0),0))</f>
        <v/>
      </c>
      <c r="G195" s="26">
        <f>IF(OR($C195="",$E195=""),"",$E195*$F195)</f>
        <v/>
      </c>
      <c r="H195" s="22" t="n"/>
      <c r="I195" s="33">
        <f>IF($C195="","",IFERROR($E195*VLOOKUP($C195,'2_Control_de_Stock'!$A$11:$N$210,10,0),0))</f>
        <v/>
      </c>
      <c r="J195" s="36">
        <f>IF($G195="","",$G195-$I195)</f>
        <v/>
      </c>
      <c r="K195" s="37">
        <f>IF($C195="","",IFERROR(VLOOKUP($C195,'2_Control_de_Stock'!$A$11:$N$210,3,0),""))</f>
        <v/>
      </c>
    </row>
    <row r="196">
      <c r="A196" s="21" t="n"/>
      <c r="B196" s="22" t="n"/>
      <c r="C196" s="22" t="n"/>
      <c r="D196" s="35">
        <f>IF($C196="","",IFERROR(VLOOKUP($C196,'2_Control_de_Stock'!$A$11:$N$210,2,0),"⚠️ SKU no existe"))</f>
        <v/>
      </c>
      <c r="E196" s="24" t="n"/>
      <c r="F196" s="33">
        <f>IF($C196="","",IFERROR(VLOOKUP($C196,'2_Control_de_Stock'!$A$11:$N$210,11,0),0))</f>
        <v/>
      </c>
      <c r="G196" s="26">
        <f>IF(OR($C196="",$E196=""),"",$E196*$F196)</f>
        <v/>
      </c>
      <c r="H196" s="22" t="n"/>
      <c r="I196" s="33">
        <f>IF($C196="","",IFERROR($E196*VLOOKUP($C196,'2_Control_de_Stock'!$A$11:$N$210,10,0),0))</f>
        <v/>
      </c>
      <c r="J196" s="36">
        <f>IF($G196="","",$G196-$I196)</f>
        <v/>
      </c>
      <c r="K196" s="37">
        <f>IF($C196="","",IFERROR(VLOOKUP($C196,'2_Control_de_Stock'!$A$11:$N$210,3,0),""))</f>
        <v/>
      </c>
    </row>
    <row r="197">
      <c r="A197" s="21" t="n"/>
      <c r="B197" s="22" t="n"/>
      <c r="C197" s="22" t="n"/>
      <c r="D197" s="35">
        <f>IF($C197="","",IFERROR(VLOOKUP($C197,'2_Control_de_Stock'!$A$11:$N$210,2,0),"⚠️ SKU no existe"))</f>
        <v/>
      </c>
      <c r="E197" s="24" t="n"/>
      <c r="F197" s="33">
        <f>IF($C197="","",IFERROR(VLOOKUP($C197,'2_Control_de_Stock'!$A$11:$N$210,11,0),0))</f>
        <v/>
      </c>
      <c r="G197" s="26">
        <f>IF(OR($C197="",$E197=""),"",$E197*$F197)</f>
        <v/>
      </c>
      <c r="H197" s="22" t="n"/>
      <c r="I197" s="33">
        <f>IF($C197="","",IFERROR($E197*VLOOKUP($C197,'2_Control_de_Stock'!$A$11:$N$210,10,0),0))</f>
        <v/>
      </c>
      <c r="J197" s="36">
        <f>IF($G197="","",$G197-$I197)</f>
        <v/>
      </c>
      <c r="K197" s="37">
        <f>IF($C197="","",IFERROR(VLOOKUP($C197,'2_Control_de_Stock'!$A$11:$N$210,3,0),""))</f>
        <v/>
      </c>
    </row>
    <row r="198">
      <c r="A198" s="21" t="n"/>
      <c r="B198" s="22" t="n"/>
      <c r="C198" s="22" t="n"/>
      <c r="D198" s="35">
        <f>IF($C198="","",IFERROR(VLOOKUP($C198,'2_Control_de_Stock'!$A$11:$N$210,2,0),"⚠️ SKU no existe"))</f>
        <v/>
      </c>
      <c r="E198" s="24" t="n"/>
      <c r="F198" s="33">
        <f>IF($C198="","",IFERROR(VLOOKUP($C198,'2_Control_de_Stock'!$A$11:$N$210,11,0),0))</f>
        <v/>
      </c>
      <c r="G198" s="26">
        <f>IF(OR($C198="",$E198=""),"",$E198*$F198)</f>
        <v/>
      </c>
      <c r="H198" s="22" t="n"/>
      <c r="I198" s="33">
        <f>IF($C198="","",IFERROR($E198*VLOOKUP($C198,'2_Control_de_Stock'!$A$11:$N$210,10,0),0))</f>
        <v/>
      </c>
      <c r="J198" s="36">
        <f>IF($G198="","",$G198-$I198)</f>
        <v/>
      </c>
      <c r="K198" s="37">
        <f>IF($C198="","",IFERROR(VLOOKUP($C198,'2_Control_de_Stock'!$A$11:$N$210,3,0),""))</f>
        <v/>
      </c>
    </row>
    <row r="199">
      <c r="A199" s="21" t="n"/>
      <c r="B199" s="22" t="n"/>
      <c r="C199" s="22" t="n"/>
      <c r="D199" s="35">
        <f>IF($C199="","",IFERROR(VLOOKUP($C199,'2_Control_de_Stock'!$A$11:$N$210,2,0),"⚠️ SKU no existe"))</f>
        <v/>
      </c>
      <c r="E199" s="24" t="n"/>
      <c r="F199" s="33">
        <f>IF($C199="","",IFERROR(VLOOKUP($C199,'2_Control_de_Stock'!$A$11:$N$210,11,0),0))</f>
        <v/>
      </c>
      <c r="G199" s="26">
        <f>IF(OR($C199="",$E199=""),"",$E199*$F199)</f>
        <v/>
      </c>
      <c r="H199" s="22" t="n"/>
      <c r="I199" s="33">
        <f>IF($C199="","",IFERROR($E199*VLOOKUP($C199,'2_Control_de_Stock'!$A$11:$N$210,10,0),0))</f>
        <v/>
      </c>
      <c r="J199" s="36">
        <f>IF($G199="","",$G199-$I199)</f>
        <v/>
      </c>
      <c r="K199" s="37">
        <f>IF($C199="","",IFERROR(VLOOKUP($C199,'2_Control_de_Stock'!$A$11:$N$210,3,0),""))</f>
        <v/>
      </c>
    </row>
    <row r="200">
      <c r="A200" s="21" t="n"/>
      <c r="B200" s="22" t="n"/>
      <c r="C200" s="22" t="n"/>
      <c r="D200" s="35">
        <f>IF($C200="","",IFERROR(VLOOKUP($C200,'2_Control_de_Stock'!$A$11:$N$210,2,0),"⚠️ SKU no existe"))</f>
        <v/>
      </c>
      <c r="E200" s="24" t="n"/>
      <c r="F200" s="33">
        <f>IF($C200="","",IFERROR(VLOOKUP($C200,'2_Control_de_Stock'!$A$11:$N$210,11,0),0))</f>
        <v/>
      </c>
      <c r="G200" s="26">
        <f>IF(OR($C200="",$E200=""),"",$E200*$F200)</f>
        <v/>
      </c>
      <c r="H200" s="22" t="n"/>
      <c r="I200" s="33">
        <f>IF($C200="","",IFERROR($E200*VLOOKUP($C200,'2_Control_de_Stock'!$A$11:$N$210,10,0),0))</f>
        <v/>
      </c>
      <c r="J200" s="36">
        <f>IF($G200="","",$G200-$I200)</f>
        <v/>
      </c>
      <c r="K200" s="37">
        <f>IF($C200="","",IFERROR(VLOOKUP($C200,'2_Control_de_Stock'!$A$11:$N$210,3,0),""))</f>
        <v/>
      </c>
    </row>
    <row r="201">
      <c r="A201" s="21" t="n"/>
      <c r="B201" s="22" t="n"/>
      <c r="C201" s="22" t="n"/>
      <c r="D201" s="35">
        <f>IF($C201="","",IFERROR(VLOOKUP($C201,'2_Control_de_Stock'!$A$11:$N$210,2,0),"⚠️ SKU no existe"))</f>
        <v/>
      </c>
      <c r="E201" s="24" t="n"/>
      <c r="F201" s="33">
        <f>IF($C201="","",IFERROR(VLOOKUP($C201,'2_Control_de_Stock'!$A$11:$N$210,11,0),0))</f>
        <v/>
      </c>
      <c r="G201" s="26">
        <f>IF(OR($C201="",$E201=""),"",$E201*$F201)</f>
        <v/>
      </c>
      <c r="H201" s="22" t="n"/>
      <c r="I201" s="33">
        <f>IF($C201="","",IFERROR($E201*VLOOKUP($C201,'2_Control_de_Stock'!$A$11:$N$210,10,0),0))</f>
        <v/>
      </c>
      <c r="J201" s="36">
        <f>IF($G201="","",$G201-$I201)</f>
        <v/>
      </c>
      <c r="K201" s="37">
        <f>IF($C201="","",IFERROR(VLOOKUP($C201,'2_Control_de_Stock'!$A$11:$N$210,3,0),""))</f>
        <v/>
      </c>
    </row>
    <row r="202">
      <c r="A202" s="21" t="n"/>
      <c r="B202" s="22" t="n"/>
      <c r="C202" s="22" t="n"/>
      <c r="D202" s="35">
        <f>IF($C202="","",IFERROR(VLOOKUP($C202,'2_Control_de_Stock'!$A$11:$N$210,2,0),"⚠️ SKU no existe"))</f>
        <v/>
      </c>
      <c r="E202" s="24" t="n"/>
      <c r="F202" s="33">
        <f>IF($C202="","",IFERROR(VLOOKUP($C202,'2_Control_de_Stock'!$A$11:$N$210,11,0),0))</f>
        <v/>
      </c>
      <c r="G202" s="26">
        <f>IF(OR($C202="",$E202=""),"",$E202*$F202)</f>
        <v/>
      </c>
      <c r="H202" s="22" t="n"/>
      <c r="I202" s="33">
        <f>IF($C202="","",IFERROR($E202*VLOOKUP($C202,'2_Control_de_Stock'!$A$11:$N$210,10,0),0))</f>
        <v/>
      </c>
      <c r="J202" s="36">
        <f>IF($G202="","",$G202-$I202)</f>
        <v/>
      </c>
      <c r="K202" s="37">
        <f>IF($C202="","",IFERROR(VLOOKUP($C202,'2_Control_de_Stock'!$A$11:$N$210,3,0),""))</f>
        <v/>
      </c>
    </row>
    <row r="203">
      <c r="A203" s="21" t="n"/>
      <c r="B203" s="22" t="n"/>
      <c r="C203" s="22" t="n"/>
      <c r="D203" s="35">
        <f>IF($C203="","",IFERROR(VLOOKUP($C203,'2_Control_de_Stock'!$A$11:$N$210,2,0),"⚠️ SKU no existe"))</f>
        <v/>
      </c>
      <c r="E203" s="24" t="n"/>
      <c r="F203" s="33">
        <f>IF($C203="","",IFERROR(VLOOKUP($C203,'2_Control_de_Stock'!$A$11:$N$210,11,0),0))</f>
        <v/>
      </c>
      <c r="G203" s="26">
        <f>IF(OR($C203="",$E203=""),"",$E203*$F203)</f>
        <v/>
      </c>
      <c r="H203" s="22" t="n"/>
      <c r="I203" s="33">
        <f>IF($C203="","",IFERROR($E203*VLOOKUP($C203,'2_Control_de_Stock'!$A$11:$N$210,10,0),0))</f>
        <v/>
      </c>
      <c r="J203" s="36">
        <f>IF($G203="","",$G203-$I203)</f>
        <v/>
      </c>
      <c r="K203" s="37">
        <f>IF($C203="","",IFERROR(VLOOKUP($C203,'2_Control_de_Stock'!$A$11:$N$210,3,0),""))</f>
        <v/>
      </c>
    </row>
    <row r="204">
      <c r="A204" s="21" t="n"/>
      <c r="B204" s="22" t="n"/>
      <c r="C204" s="22" t="n"/>
      <c r="D204" s="35">
        <f>IF($C204="","",IFERROR(VLOOKUP($C204,'2_Control_de_Stock'!$A$11:$N$210,2,0),"⚠️ SKU no existe"))</f>
        <v/>
      </c>
      <c r="E204" s="24" t="n"/>
      <c r="F204" s="33">
        <f>IF($C204="","",IFERROR(VLOOKUP($C204,'2_Control_de_Stock'!$A$11:$N$210,11,0),0))</f>
        <v/>
      </c>
      <c r="G204" s="26">
        <f>IF(OR($C204="",$E204=""),"",$E204*$F204)</f>
        <v/>
      </c>
      <c r="H204" s="22" t="n"/>
      <c r="I204" s="33">
        <f>IF($C204="","",IFERROR($E204*VLOOKUP($C204,'2_Control_de_Stock'!$A$11:$N$210,10,0),0))</f>
        <v/>
      </c>
      <c r="J204" s="36">
        <f>IF($G204="","",$G204-$I204)</f>
        <v/>
      </c>
      <c r="K204" s="37">
        <f>IF($C204="","",IFERROR(VLOOKUP($C204,'2_Control_de_Stock'!$A$11:$N$210,3,0),""))</f>
        <v/>
      </c>
    </row>
    <row r="205">
      <c r="A205" s="21" t="n"/>
      <c r="B205" s="22" t="n"/>
      <c r="C205" s="22" t="n"/>
      <c r="D205" s="35">
        <f>IF($C205="","",IFERROR(VLOOKUP($C205,'2_Control_de_Stock'!$A$11:$N$210,2,0),"⚠️ SKU no existe"))</f>
        <v/>
      </c>
      <c r="E205" s="24" t="n"/>
      <c r="F205" s="33">
        <f>IF($C205="","",IFERROR(VLOOKUP($C205,'2_Control_de_Stock'!$A$11:$N$210,11,0),0))</f>
        <v/>
      </c>
      <c r="G205" s="26">
        <f>IF(OR($C205="",$E205=""),"",$E205*$F205)</f>
        <v/>
      </c>
      <c r="H205" s="22" t="n"/>
      <c r="I205" s="33">
        <f>IF($C205="","",IFERROR($E205*VLOOKUP($C205,'2_Control_de_Stock'!$A$11:$N$210,10,0),0))</f>
        <v/>
      </c>
      <c r="J205" s="36">
        <f>IF($G205="","",$G205-$I205)</f>
        <v/>
      </c>
      <c r="K205" s="37">
        <f>IF($C205="","",IFERROR(VLOOKUP($C205,'2_Control_de_Stock'!$A$11:$N$210,3,0),""))</f>
        <v/>
      </c>
    </row>
    <row r="206">
      <c r="A206" s="21" t="n"/>
      <c r="B206" s="22" t="n"/>
      <c r="C206" s="22" t="n"/>
      <c r="D206" s="35">
        <f>IF($C206="","",IFERROR(VLOOKUP($C206,'2_Control_de_Stock'!$A$11:$N$210,2,0),"⚠️ SKU no existe"))</f>
        <v/>
      </c>
      <c r="E206" s="24" t="n"/>
      <c r="F206" s="33">
        <f>IF($C206="","",IFERROR(VLOOKUP($C206,'2_Control_de_Stock'!$A$11:$N$210,11,0),0))</f>
        <v/>
      </c>
      <c r="G206" s="26">
        <f>IF(OR($C206="",$E206=""),"",$E206*$F206)</f>
        <v/>
      </c>
      <c r="H206" s="22" t="n"/>
      <c r="I206" s="33">
        <f>IF($C206="","",IFERROR($E206*VLOOKUP($C206,'2_Control_de_Stock'!$A$11:$N$210,10,0),0))</f>
        <v/>
      </c>
      <c r="J206" s="36">
        <f>IF($G206="","",$G206-$I206)</f>
        <v/>
      </c>
      <c r="K206" s="37">
        <f>IF($C206="","",IFERROR(VLOOKUP($C206,'2_Control_de_Stock'!$A$11:$N$210,3,0),""))</f>
        <v/>
      </c>
    </row>
    <row r="207">
      <c r="A207" s="21" t="n"/>
      <c r="B207" s="22" t="n"/>
      <c r="C207" s="22" t="n"/>
      <c r="D207" s="35">
        <f>IF($C207="","",IFERROR(VLOOKUP($C207,'2_Control_de_Stock'!$A$11:$N$210,2,0),"⚠️ SKU no existe"))</f>
        <v/>
      </c>
      <c r="E207" s="24" t="n"/>
      <c r="F207" s="33">
        <f>IF($C207="","",IFERROR(VLOOKUP($C207,'2_Control_de_Stock'!$A$11:$N$210,11,0),0))</f>
        <v/>
      </c>
      <c r="G207" s="26">
        <f>IF(OR($C207="",$E207=""),"",$E207*$F207)</f>
        <v/>
      </c>
      <c r="H207" s="22" t="n"/>
      <c r="I207" s="33">
        <f>IF($C207="","",IFERROR($E207*VLOOKUP($C207,'2_Control_de_Stock'!$A$11:$N$210,10,0),0))</f>
        <v/>
      </c>
      <c r="J207" s="36">
        <f>IF($G207="","",$G207-$I207)</f>
        <v/>
      </c>
      <c r="K207" s="37">
        <f>IF($C207="","",IFERROR(VLOOKUP($C207,'2_Control_de_Stock'!$A$11:$N$210,3,0),""))</f>
        <v/>
      </c>
    </row>
    <row r="208">
      <c r="A208" s="21" t="n"/>
      <c r="B208" s="22" t="n"/>
      <c r="C208" s="22" t="n"/>
      <c r="D208" s="35">
        <f>IF($C208="","",IFERROR(VLOOKUP($C208,'2_Control_de_Stock'!$A$11:$N$210,2,0),"⚠️ SKU no existe"))</f>
        <v/>
      </c>
      <c r="E208" s="24" t="n"/>
      <c r="F208" s="33">
        <f>IF($C208="","",IFERROR(VLOOKUP($C208,'2_Control_de_Stock'!$A$11:$N$210,11,0),0))</f>
        <v/>
      </c>
      <c r="G208" s="26">
        <f>IF(OR($C208="",$E208=""),"",$E208*$F208)</f>
        <v/>
      </c>
      <c r="H208" s="22" t="n"/>
      <c r="I208" s="33">
        <f>IF($C208="","",IFERROR($E208*VLOOKUP($C208,'2_Control_de_Stock'!$A$11:$N$210,10,0),0))</f>
        <v/>
      </c>
      <c r="J208" s="36">
        <f>IF($G208="","",$G208-$I208)</f>
        <v/>
      </c>
      <c r="K208" s="37">
        <f>IF($C208="","",IFERROR(VLOOKUP($C208,'2_Control_de_Stock'!$A$11:$N$210,3,0),""))</f>
        <v/>
      </c>
    </row>
    <row r="209">
      <c r="A209" s="21" t="n"/>
      <c r="B209" s="22" t="n"/>
      <c r="C209" s="22" t="n"/>
      <c r="D209" s="35">
        <f>IF($C209="","",IFERROR(VLOOKUP($C209,'2_Control_de_Stock'!$A$11:$N$210,2,0),"⚠️ SKU no existe"))</f>
        <v/>
      </c>
      <c r="E209" s="24" t="n"/>
      <c r="F209" s="33">
        <f>IF($C209="","",IFERROR(VLOOKUP($C209,'2_Control_de_Stock'!$A$11:$N$210,11,0),0))</f>
        <v/>
      </c>
      <c r="G209" s="26">
        <f>IF(OR($C209="",$E209=""),"",$E209*$F209)</f>
        <v/>
      </c>
      <c r="H209" s="22" t="n"/>
      <c r="I209" s="33">
        <f>IF($C209="","",IFERROR($E209*VLOOKUP($C209,'2_Control_de_Stock'!$A$11:$N$210,10,0),0))</f>
        <v/>
      </c>
      <c r="J209" s="36">
        <f>IF($G209="","",$G209-$I209)</f>
        <v/>
      </c>
      <c r="K209" s="37">
        <f>IF($C209="","",IFERROR(VLOOKUP($C209,'2_Control_de_Stock'!$A$11:$N$210,3,0),""))</f>
        <v/>
      </c>
    </row>
    <row r="210">
      <c r="A210" s="21" t="n"/>
      <c r="B210" s="22" t="n"/>
      <c r="C210" s="22" t="n"/>
      <c r="D210" s="35">
        <f>IF($C210="","",IFERROR(VLOOKUP($C210,'2_Control_de_Stock'!$A$11:$N$210,2,0),"⚠️ SKU no existe"))</f>
        <v/>
      </c>
      <c r="E210" s="24" t="n"/>
      <c r="F210" s="33">
        <f>IF($C210="","",IFERROR(VLOOKUP($C210,'2_Control_de_Stock'!$A$11:$N$210,11,0),0))</f>
        <v/>
      </c>
      <c r="G210" s="26">
        <f>IF(OR($C210="",$E210=""),"",$E210*$F210)</f>
        <v/>
      </c>
      <c r="H210" s="22" t="n"/>
      <c r="I210" s="33">
        <f>IF($C210="","",IFERROR($E210*VLOOKUP($C210,'2_Control_de_Stock'!$A$11:$N$210,10,0),0))</f>
        <v/>
      </c>
      <c r="J210" s="36">
        <f>IF($G210="","",$G210-$I210)</f>
        <v/>
      </c>
      <c r="K210" s="37">
        <f>IF($C210="","",IFERROR(VLOOKUP($C210,'2_Control_de_Stock'!$A$11:$N$210,3,0),""))</f>
        <v/>
      </c>
    </row>
    <row r="211">
      <c r="A211" s="21" t="n"/>
      <c r="B211" s="22" t="n"/>
      <c r="C211" s="22" t="n"/>
      <c r="D211" s="35">
        <f>IF($C211="","",IFERROR(VLOOKUP($C211,'2_Control_de_Stock'!$A$11:$N$210,2,0),"⚠️ SKU no existe"))</f>
        <v/>
      </c>
      <c r="E211" s="24" t="n"/>
      <c r="F211" s="33">
        <f>IF($C211="","",IFERROR(VLOOKUP($C211,'2_Control_de_Stock'!$A$11:$N$210,11,0),0))</f>
        <v/>
      </c>
      <c r="G211" s="26">
        <f>IF(OR($C211="",$E211=""),"",$E211*$F211)</f>
        <v/>
      </c>
      <c r="H211" s="22" t="n"/>
      <c r="I211" s="33">
        <f>IF($C211="","",IFERROR($E211*VLOOKUP($C211,'2_Control_de_Stock'!$A$11:$N$210,10,0),0))</f>
        <v/>
      </c>
      <c r="J211" s="36">
        <f>IF($G211="","",$G211-$I211)</f>
        <v/>
      </c>
      <c r="K211" s="37">
        <f>IF($C211="","",IFERROR(VLOOKUP($C211,'2_Control_de_Stock'!$A$11:$N$210,3,0),""))</f>
        <v/>
      </c>
    </row>
    <row r="212">
      <c r="A212" s="21" t="n"/>
      <c r="B212" s="22" t="n"/>
      <c r="C212" s="22" t="n"/>
      <c r="D212" s="35">
        <f>IF($C212="","",IFERROR(VLOOKUP($C212,'2_Control_de_Stock'!$A$11:$N$210,2,0),"⚠️ SKU no existe"))</f>
        <v/>
      </c>
      <c r="E212" s="24" t="n"/>
      <c r="F212" s="33">
        <f>IF($C212="","",IFERROR(VLOOKUP($C212,'2_Control_de_Stock'!$A$11:$N$210,11,0),0))</f>
        <v/>
      </c>
      <c r="G212" s="26">
        <f>IF(OR($C212="",$E212=""),"",$E212*$F212)</f>
        <v/>
      </c>
      <c r="H212" s="22" t="n"/>
      <c r="I212" s="33">
        <f>IF($C212="","",IFERROR($E212*VLOOKUP($C212,'2_Control_de_Stock'!$A$11:$N$210,10,0),0))</f>
        <v/>
      </c>
      <c r="J212" s="36">
        <f>IF($G212="","",$G212-$I212)</f>
        <v/>
      </c>
      <c r="K212" s="37">
        <f>IF($C212="","",IFERROR(VLOOKUP($C212,'2_Control_de_Stock'!$A$11:$N$210,3,0),""))</f>
        <v/>
      </c>
    </row>
    <row r="213">
      <c r="A213" s="21" t="n"/>
      <c r="B213" s="22" t="n"/>
      <c r="C213" s="22" t="n"/>
      <c r="D213" s="35">
        <f>IF($C213="","",IFERROR(VLOOKUP($C213,'2_Control_de_Stock'!$A$11:$N$210,2,0),"⚠️ SKU no existe"))</f>
        <v/>
      </c>
      <c r="E213" s="24" t="n"/>
      <c r="F213" s="33">
        <f>IF($C213="","",IFERROR(VLOOKUP($C213,'2_Control_de_Stock'!$A$11:$N$210,11,0),0))</f>
        <v/>
      </c>
      <c r="G213" s="26">
        <f>IF(OR($C213="",$E213=""),"",$E213*$F213)</f>
        <v/>
      </c>
      <c r="H213" s="22" t="n"/>
      <c r="I213" s="33">
        <f>IF($C213="","",IFERROR($E213*VLOOKUP($C213,'2_Control_de_Stock'!$A$11:$N$210,10,0),0))</f>
        <v/>
      </c>
      <c r="J213" s="36">
        <f>IF($G213="","",$G213-$I213)</f>
        <v/>
      </c>
      <c r="K213" s="37">
        <f>IF($C213="","",IFERROR(VLOOKUP($C213,'2_Control_de_Stock'!$A$11:$N$210,3,0),""))</f>
        <v/>
      </c>
    </row>
    <row r="214">
      <c r="A214" s="21" t="n"/>
      <c r="B214" s="22" t="n"/>
      <c r="C214" s="22" t="n"/>
      <c r="D214" s="35">
        <f>IF($C214="","",IFERROR(VLOOKUP($C214,'2_Control_de_Stock'!$A$11:$N$210,2,0),"⚠️ SKU no existe"))</f>
        <v/>
      </c>
      <c r="E214" s="24" t="n"/>
      <c r="F214" s="33">
        <f>IF($C214="","",IFERROR(VLOOKUP($C214,'2_Control_de_Stock'!$A$11:$N$210,11,0),0))</f>
        <v/>
      </c>
      <c r="G214" s="26">
        <f>IF(OR($C214="",$E214=""),"",$E214*$F214)</f>
        <v/>
      </c>
      <c r="H214" s="22" t="n"/>
      <c r="I214" s="33">
        <f>IF($C214="","",IFERROR($E214*VLOOKUP($C214,'2_Control_de_Stock'!$A$11:$N$210,10,0),0))</f>
        <v/>
      </c>
      <c r="J214" s="36">
        <f>IF($G214="","",$G214-$I214)</f>
        <v/>
      </c>
      <c r="K214" s="37">
        <f>IF($C214="","",IFERROR(VLOOKUP($C214,'2_Control_de_Stock'!$A$11:$N$210,3,0),""))</f>
        <v/>
      </c>
    </row>
    <row r="215">
      <c r="A215" s="21" t="n"/>
      <c r="B215" s="22" t="n"/>
      <c r="C215" s="22" t="n"/>
      <c r="D215" s="35">
        <f>IF($C215="","",IFERROR(VLOOKUP($C215,'2_Control_de_Stock'!$A$11:$N$210,2,0),"⚠️ SKU no existe"))</f>
        <v/>
      </c>
      <c r="E215" s="24" t="n"/>
      <c r="F215" s="33">
        <f>IF($C215="","",IFERROR(VLOOKUP($C215,'2_Control_de_Stock'!$A$11:$N$210,11,0),0))</f>
        <v/>
      </c>
      <c r="G215" s="26">
        <f>IF(OR($C215="",$E215=""),"",$E215*$F215)</f>
        <v/>
      </c>
      <c r="H215" s="22" t="n"/>
      <c r="I215" s="33">
        <f>IF($C215="","",IFERROR($E215*VLOOKUP($C215,'2_Control_de_Stock'!$A$11:$N$210,10,0),0))</f>
        <v/>
      </c>
      <c r="J215" s="36">
        <f>IF($G215="","",$G215-$I215)</f>
        <v/>
      </c>
      <c r="K215" s="37">
        <f>IF($C215="","",IFERROR(VLOOKUP($C215,'2_Control_de_Stock'!$A$11:$N$210,3,0),""))</f>
        <v/>
      </c>
    </row>
    <row r="216">
      <c r="A216" s="21" t="n"/>
      <c r="B216" s="22" t="n"/>
      <c r="C216" s="22" t="n"/>
      <c r="D216" s="35">
        <f>IF($C216="","",IFERROR(VLOOKUP($C216,'2_Control_de_Stock'!$A$11:$N$210,2,0),"⚠️ SKU no existe"))</f>
        <v/>
      </c>
      <c r="E216" s="24" t="n"/>
      <c r="F216" s="33">
        <f>IF($C216="","",IFERROR(VLOOKUP($C216,'2_Control_de_Stock'!$A$11:$N$210,11,0),0))</f>
        <v/>
      </c>
      <c r="G216" s="26">
        <f>IF(OR($C216="",$E216=""),"",$E216*$F216)</f>
        <v/>
      </c>
      <c r="H216" s="22" t="n"/>
      <c r="I216" s="33">
        <f>IF($C216="","",IFERROR($E216*VLOOKUP($C216,'2_Control_de_Stock'!$A$11:$N$210,10,0),0))</f>
        <v/>
      </c>
      <c r="J216" s="36">
        <f>IF($G216="","",$G216-$I216)</f>
        <v/>
      </c>
      <c r="K216" s="37">
        <f>IF($C216="","",IFERROR(VLOOKUP($C216,'2_Control_de_Stock'!$A$11:$N$210,3,0),""))</f>
        <v/>
      </c>
    </row>
    <row r="217">
      <c r="A217" s="21" t="n"/>
      <c r="B217" s="22" t="n"/>
      <c r="C217" s="22" t="n"/>
      <c r="D217" s="35">
        <f>IF($C217="","",IFERROR(VLOOKUP($C217,'2_Control_de_Stock'!$A$11:$N$210,2,0),"⚠️ SKU no existe"))</f>
        <v/>
      </c>
      <c r="E217" s="24" t="n"/>
      <c r="F217" s="33">
        <f>IF($C217="","",IFERROR(VLOOKUP($C217,'2_Control_de_Stock'!$A$11:$N$210,11,0),0))</f>
        <v/>
      </c>
      <c r="G217" s="26">
        <f>IF(OR($C217="",$E217=""),"",$E217*$F217)</f>
        <v/>
      </c>
      <c r="H217" s="22" t="n"/>
      <c r="I217" s="33">
        <f>IF($C217="","",IFERROR($E217*VLOOKUP($C217,'2_Control_de_Stock'!$A$11:$N$210,10,0),0))</f>
        <v/>
      </c>
      <c r="J217" s="36">
        <f>IF($G217="","",$G217-$I217)</f>
        <v/>
      </c>
      <c r="K217" s="37">
        <f>IF($C217="","",IFERROR(VLOOKUP($C217,'2_Control_de_Stock'!$A$11:$N$210,3,0),""))</f>
        <v/>
      </c>
    </row>
    <row r="218">
      <c r="A218" s="21" t="n"/>
      <c r="B218" s="22" t="n"/>
      <c r="C218" s="22" t="n"/>
      <c r="D218" s="35">
        <f>IF($C218="","",IFERROR(VLOOKUP($C218,'2_Control_de_Stock'!$A$11:$N$210,2,0),"⚠️ SKU no existe"))</f>
        <v/>
      </c>
      <c r="E218" s="24" t="n"/>
      <c r="F218" s="33">
        <f>IF($C218="","",IFERROR(VLOOKUP($C218,'2_Control_de_Stock'!$A$11:$N$210,11,0),0))</f>
        <v/>
      </c>
      <c r="G218" s="26">
        <f>IF(OR($C218="",$E218=""),"",$E218*$F218)</f>
        <v/>
      </c>
      <c r="H218" s="22" t="n"/>
      <c r="I218" s="33">
        <f>IF($C218="","",IFERROR($E218*VLOOKUP($C218,'2_Control_de_Stock'!$A$11:$N$210,10,0),0))</f>
        <v/>
      </c>
      <c r="J218" s="36">
        <f>IF($G218="","",$G218-$I218)</f>
        <v/>
      </c>
      <c r="K218" s="37">
        <f>IF($C218="","",IFERROR(VLOOKUP($C218,'2_Control_de_Stock'!$A$11:$N$210,3,0),""))</f>
        <v/>
      </c>
    </row>
    <row r="219">
      <c r="A219" s="21" t="n"/>
      <c r="B219" s="22" t="n"/>
      <c r="C219" s="22" t="n"/>
      <c r="D219" s="35">
        <f>IF($C219="","",IFERROR(VLOOKUP($C219,'2_Control_de_Stock'!$A$11:$N$210,2,0),"⚠️ SKU no existe"))</f>
        <v/>
      </c>
      <c r="E219" s="24" t="n"/>
      <c r="F219" s="33">
        <f>IF($C219="","",IFERROR(VLOOKUP($C219,'2_Control_de_Stock'!$A$11:$N$210,11,0),0))</f>
        <v/>
      </c>
      <c r="G219" s="26">
        <f>IF(OR($C219="",$E219=""),"",$E219*$F219)</f>
        <v/>
      </c>
      <c r="H219" s="22" t="n"/>
      <c r="I219" s="33">
        <f>IF($C219="","",IFERROR($E219*VLOOKUP($C219,'2_Control_de_Stock'!$A$11:$N$210,10,0),0))</f>
        <v/>
      </c>
      <c r="J219" s="36">
        <f>IF($G219="","",$G219-$I219)</f>
        <v/>
      </c>
      <c r="K219" s="37">
        <f>IF($C219="","",IFERROR(VLOOKUP($C219,'2_Control_de_Stock'!$A$11:$N$210,3,0),""))</f>
        <v/>
      </c>
    </row>
    <row r="220">
      <c r="A220" s="21" t="n"/>
      <c r="B220" s="22" t="n"/>
      <c r="C220" s="22" t="n"/>
      <c r="D220" s="35">
        <f>IF($C220="","",IFERROR(VLOOKUP($C220,'2_Control_de_Stock'!$A$11:$N$210,2,0),"⚠️ SKU no existe"))</f>
        <v/>
      </c>
      <c r="E220" s="24" t="n"/>
      <c r="F220" s="33">
        <f>IF($C220="","",IFERROR(VLOOKUP($C220,'2_Control_de_Stock'!$A$11:$N$210,11,0),0))</f>
        <v/>
      </c>
      <c r="G220" s="26">
        <f>IF(OR($C220="",$E220=""),"",$E220*$F220)</f>
        <v/>
      </c>
      <c r="H220" s="22" t="n"/>
      <c r="I220" s="33">
        <f>IF($C220="","",IFERROR($E220*VLOOKUP($C220,'2_Control_de_Stock'!$A$11:$N$210,10,0),0))</f>
        <v/>
      </c>
      <c r="J220" s="36">
        <f>IF($G220="","",$G220-$I220)</f>
        <v/>
      </c>
      <c r="K220" s="37">
        <f>IF($C220="","",IFERROR(VLOOKUP($C220,'2_Control_de_Stock'!$A$11:$N$210,3,0),""))</f>
        <v/>
      </c>
    </row>
    <row r="221">
      <c r="A221" s="21" t="n"/>
      <c r="B221" s="22" t="n"/>
      <c r="C221" s="22" t="n"/>
      <c r="D221" s="35">
        <f>IF($C221="","",IFERROR(VLOOKUP($C221,'2_Control_de_Stock'!$A$11:$N$210,2,0),"⚠️ SKU no existe"))</f>
        <v/>
      </c>
      <c r="E221" s="24" t="n"/>
      <c r="F221" s="33">
        <f>IF($C221="","",IFERROR(VLOOKUP($C221,'2_Control_de_Stock'!$A$11:$N$210,11,0),0))</f>
        <v/>
      </c>
      <c r="G221" s="26">
        <f>IF(OR($C221="",$E221=""),"",$E221*$F221)</f>
        <v/>
      </c>
      <c r="H221" s="22" t="n"/>
      <c r="I221" s="33">
        <f>IF($C221="","",IFERROR($E221*VLOOKUP($C221,'2_Control_de_Stock'!$A$11:$N$210,10,0),0))</f>
        <v/>
      </c>
      <c r="J221" s="36">
        <f>IF($G221="","",$G221-$I221)</f>
        <v/>
      </c>
      <c r="K221" s="37">
        <f>IF($C221="","",IFERROR(VLOOKUP($C221,'2_Control_de_Stock'!$A$11:$N$210,3,0),""))</f>
        <v/>
      </c>
    </row>
    <row r="222">
      <c r="A222" s="21" t="n"/>
      <c r="B222" s="22" t="n"/>
      <c r="C222" s="22" t="n"/>
      <c r="D222" s="35">
        <f>IF($C222="","",IFERROR(VLOOKUP($C222,'2_Control_de_Stock'!$A$11:$N$210,2,0),"⚠️ SKU no existe"))</f>
        <v/>
      </c>
      <c r="E222" s="24" t="n"/>
      <c r="F222" s="33">
        <f>IF($C222="","",IFERROR(VLOOKUP($C222,'2_Control_de_Stock'!$A$11:$N$210,11,0),0))</f>
        <v/>
      </c>
      <c r="G222" s="26">
        <f>IF(OR($C222="",$E222=""),"",$E222*$F222)</f>
        <v/>
      </c>
      <c r="H222" s="22" t="n"/>
      <c r="I222" s="33">
        <f>IF($C222="","",IFERROR($E222*VLOOKUP($C222,'2_Control_de_Stock'!$A$11:$N$210,10,0),0))</f>
        <v/>
      </c>
      <c r="J222" s="36">
        <f>IF($G222="","",$G222-$I222)</f>
        <v/>
      </c>
      <c r="K222" s="37">
        <f>IF($C222="","",IFERROR(VLOOKUP($C222,'2_Control_de_Stock'!$A$11:$N$210,3,0),""))</f>
        <v/>
      </c>
    </row>
    <row r="223">
      <c r="A223" s="21" t="n"/>
      <c r="B223" s="22" t="n"/>
      <c r="C223" s="22" t="n"/>
      <c r="D223" s="35">
        <f>IF($C223="","",IFERROR(VLOOKUP($C223,'2_Control_de_Stock'!$A$11:$N$210,2,0),"⚠️ SKU no existe"))</f>
        <v/>
      </c>
      <c r="E223" s="24" t="n"/>
      <c r="F223" s="33">
        <f>IF($C223="","",IFERROR(VLOOKUP($C223,'2_Control_de_Stock'!$A$11:$N$210,11,0),0))</f>
        <v/>
      </c>
      <c r="G223" s="26">
        <f>IF(OR($C223="",$E223=""),"",$E223*$F223)</f>
        <v/>
      </c>
      <c r="H223" s="22" t="n"/>
      <c r="I223" s="33">
        <f>IF($C223="","",IFERROR($E223*VLOOKUP($C223,'2_Control_de_Stock'!$A$11:$N$210,10,0),0))</f>
        <v/>
      </c>
      <c r="J223" s="36">
        <f>IF($G223="","",$G223-$I223)</f>
        <v/>
      </c>
      <c r="K223" s="37">
        <f>IF($C223="","",IFERROR(VLOOKUP($C223,'2_Control_de_Stock'!$A$11:$N$210,3,0),""))</f>
        <v/>
      </c>
    </row>
    <row r="224">
      <c r="A224" s="21" t="n"/>
      <c r="B224" s="22" t="n"/>
      <c r="C224" s="22" t="n"/>
      <c r="D224" s="35">
        <f>IF($C224="","",IFERROR(VLOOKUP($C224,'2_Control_de_Stock'!$A$11:$N$210,2,0),"⚠️ SKU no existe"))</f>
        <v/>
      </c>
      <c r="E224" s="24" t="n"/>
      <c r="F224" s="33">
        <f>IF($C224="","",IFERROR(VLOOKUP($C224,'2_Control_de_Stock'!$A$11:$N$210,11,0),0))</f>
        <v/>
      </c>
      <c r="G224" s="26">
        <f>IF(OR($C224="",$E224=""),"",$E224*$F224)</f>
        <v/>
      </c>
      <c r="H224" s="22" t="n"/>
      <c r="I224" s="33">
        <f>IF($C224="","",IFERROR($E224*VLOOKUP($C224,'2_Control_de_Stock'!$A$11:$N$210,10,0),0))</f>
        <v/>
      </c>
      <c r="J224" s="36">
        <f>IF($G224="","",$G224-$I224)</f>
        <v/>
      </c>
      <c r="K224" s="37">
        <f>IF($C224="","",IFERROR(VLOOKUP($C224,'2_Control_de_Stock'!$A$11:$N$210,3,0),""))</f>
        <v/>
      </c>
    </row>
    <row r="225">
      <c r="A225" s="21" t="n"/>
      <c r="B225" s="22" t="n"/>
      <c r="C225" s="22" t="n"/>
      <c r="D225" s="35">
        <f>IF($C225="","",IFERROR(VLOOKUP($C225,'2_Control_de_Stock'!$A$11:$N$210,2,0),"⚠️ SKU no existe"))</f>
        <v/>
      </c>
      <c r="E225" s="24" t="n"/>
      <c r="F225" s="33">
        <f>IF($C225="","",IFERROR(VLOOKUP($C225,'2_Control_de_Stock'!$A$11:$N$210,11,0),0))</f>
        <v/>
      </c>
      <c r="G225" s="26">
        <f>IF(OR($C225="",$E225=""),"",$E225*$F225)</f>
        <v/>
      </c>
      <c r="H225" s="22" t="n"/>
      <c r="I225" s="33">
        <f>IF($C225="","",IFERROR($E225*VLOOKUP($C225,'2_Control_de_Stock'!$A$11:$N$210,10,0),0))</f>
        <v/>
      </c>
      <c r="J225" s="36">
        <f>IF($G225="","",$G225-$I225)</f>
        <v/>
      </c>
      <c r="K225" s="37">
        <f>IF($C225="","",IFERROR(VLOOKUP($C225,'2_Control_de_Stock'!$A$11:$N$210,3,0),""))</f>
        <v/>
      </c>
    </row>
    <row r="226">
      <c r="A226" s="21" t="n"/>
      <c r="B226" s="22" t="n"/>
      <c r="C226" s="22" t="n"/>
      <c r="D226" s="35">
        <f>IF($C226="","",IFERROR(VLOOKUP($C226,'2_Control_de_Stock'!$A$11:$N$210,2,0),"⚠️ SKU no existe"))</f>
        <v/>
      </c>
      <c r="E226" s="24" t="n"/>
      <c r="F226" s="33">
        <f>IF($C226="","",IFERROR(VLOOKUP($C226,'2_Control_de_Stock'!$A$11:$N$210,11,0),0))</f>
        <v/>
      </c>
      <c r="G226" s="26">
        <f>IF(OR($C226="",$E226=""),"",$E226*$F226)</f>
        <v/>
      </c>
      <c r="H226" s="22" t="n"/>
      <c r="I226" s="33">
        <f>IF($C226="","",IFERROR($E226*VLOOKUP($C226,'2_Control_de_Stock'!$A$11:$N$210,10,0),0))</f>
        <v/>
      </c>
      <c r="J226" s="36">
        <f>IF($G226="","",$G226-$I226)</f>
        <v/>
      </c>
      <c r="K226" s="37">
        <f>IF($C226="","",IFERROR(VLOOKUP($C226,'2_Control_de_Stock'!$A$11:$N$210,3,0),""))</f>
        <v/>
      </c>
    </row>
    <row r="227">
      <c r="A227" s="21" t="n"/>
      <c r="B227" s="22" t="n"/>
      <c r="C227" s="22" t="n"/>
      <c r="D227" s="35">
        <f>IF($C227="","",IFERROR(VLOOKUP($C227,'2_Control_de_Stock'!$A$11:$N$210,2,0),"⚠️ SKU no existe"))</f>
        <v/>
      </c>
      <c r="E227" s="24" t="n"/>
      <c r="F227" s="33">
        <f>IF($C227="","",IFERROR(VLOOKUP($C227,'2_Control_de_Stock'!$A$11:$N$210,11,0),0))</f>
        <v/>
      </c>
      <c r="G227" s="26">
        <f>IF(OR($C227="",$E227=""),"",$E227*$F227)</f>
        <v/>
      </c>
      <c r="H227" s="22" t="n"/>
      <c r="I227" s="33">
        <f>IF($C227="","",IFERROR($E227*VLOOKUP($C227,'2_Control_de_Stock'!$A$11:$N$210,10,0),0))</f>
        <v/>
      </c>
      <c r="J227" s="36">
        <f>IF($G227="","",$G227-$I227)</f>
        <v/>
      </c>
      <c r="K227" s="37">
        <f>IF($C227="","",IFERROR(VLOOKUP($C227,'2_Control_de_Stock'!$A$11:$N$210,3,0),""))</f>
        <v/>
      </c>
    </row>
    <row r="228">
      <c r="A228" s="21" t="n"/>
      <c r="B228" s="22" t="n"/>
      <c r="C228" s="22" t="n"/>
      <c r="D228" s="35">
        <f>IF($C228="","",IFERROR(VLOOKUP($C228,'2_Control_de_Stock'!$A$11:$N$210,2,0),"⚠️ SKU no existe"))</f>
        <v/>
      </c>
      <c r="E228" s="24" t="n"/>
      <c r="F228" s="33">
        <f>IF($C228="","",IFERROR(VLOOKUP($C228,'2_Control_de_Stock'!$A$11:$N$210,11,0),0))</f>
        <v/>
      </c>
      <c r="G228" s="26">
        <f>IF(OR($C228="",$E228=""),"",$E228*$F228)</f>
        <v/>
      </c>
      <c r="H228" s="22" t="n"/>
      <c r="I228" s="33">
        <f>IF($C228="","",IFERROR($E228*VLOOKUP($C228,'2_Control_de_Stock'!$A$11:$N$210,10,0),0))</f>
        <v/>
      </c>
      <c r="J228" s="36">
        <f>IF($G228="","",$G228-$I228)</f>
        <v/>
      </c>
      <c r="K228" s="37">
        <f>IF($C228="","",IFERROR(VLOOKUP($C228,'2_Control_de_Stock'!$A$11:$N$210,3,0),""))</f>
        <v/>
      </c>
    </row>
    <row r="229">
      <c r="A229" s="21" t="n"/>
      <c r="B229" s="22" t="n"/>
      <c r="C229" s="22" t="n"/>
      <c r="D229" s="35">
        <f>IF($C229="","",IFERROR(VLOOKUP($C229,'2_Control_de_Stock'!$A$11:$N$210,2,0),"⚠️ SKU no existe"))</f>
        <v/>
      </c>
      <c r="E229" s="24" t="n"/>
      <c r="F229" s="33">
        <f>IF($C229="","",IFERROR(VLOOKUP($C229,'2_Control_de_Stock'!$A$11:$N$210,11,0),0))</f>
        <v/>
      </c>
      <c r="G229" s="26">
        <f>IF(OR($C229="",$E229=""),"",$E229*$F229)</f>
        <v/>
      </c>
      <c r="H229" s="22" t="n"/>
      <c r="I229" s="33">
        <f>IF($C229="","",IFERROR($E229*VLOOKUP($C229,'2_Control_de_Stock'!$A$11:$N$210,10,0),0))</f>
        <v/>
      </c>
      <c r="J229" s="36">
        <f>IF($G229="","",$G229-$I229)</f>
        <v/>
      </c>
      <c r="K229" s="37">
        <f>IF($C229="","",IFERROR(VLOOKUP($C229,'2_Control_de_Stock'!$A$11:$N$210,3,0),""))</f>
        <v/>
      </c>
    </row>
    <row r="230">
      <c r="A230" s="21" t="n"/>
      <c r="B230" s="22" t="n"/>
      <c r="C230" s="22" t="n"/>
      <c r="D230" s="35">
        <f>IF($C230="","",IFERROR(VLOOKUP($C230,'2_Control_de_Stock'!$A$11:$N$210,2,0),"⚠️ SKU no existe"))</f>
        <v/>
      </c>
      <c r="E230" s="24" t="n"/>
      <c r="F230" s="33">
        <f>IF($C230="","",IFERROR(VLOOKUP($C230,'2_Control_de_Stock'!$A$11:$N$210,11,0),0))</f>
        <v/>
      </c>
      <c r="G230" s="26">
        <f>IF(OR($C230="",$E230=""),"",$E230*$F230)</f>
        <v/>
      </c>
      <c r="H230" s="22" t="n"/>
      <c r="I230" s="33">
        <f>IF($C230="","",IFERROR($E230*VLOOKUP($C230,'2_Control_de_Stock'!$A$11:$N$210,10,0),0))</f>
        <v/>
      </c>
      <c r="J230" s="36">
        <f>IF($G230="","",$G230-$I230)</f>
        <v/>
      </c>
      <c r="K230" s="37">
        <f>IF($C230="","",IFERROR(VLOOKUP($C230,'2_Control_de_Stock'!$A$11:$N$210,3,0),""))</f>
        <v/>
      </c>
    </row>
    <row r="231">
      <c r="A231" s="21" t="n"/>
      <c r="B231" s="22" t="n"/>
      <c r="C231" s="22" t="n"/>
      <c r="D231" s="35">
        <f>IF($C231="","",IFERROR(VLOOKUP($C231,'2_Control_de_Stock'!$A$11:$N$210,2,0),"⚠️ SKU no existe"))</f>
        <v/>
      </c>
      <c r="E231" s="24" t="n"/>
      <c r="F231" s="33">
        <f>IF($C231="","",IFERROR(VLOOKUP($C231,'2_Control_de_Stock'!$A$11:$N$210,11,0),0))</f>
        <v/>
      </c>
      <c r="G231" s="26">
        <f>IF(OR($C231="",$E231=""),"",$E231*$F231)</f>
        <v/>
      </c>
      <c r="H231" s="22" t="n"/>
      <c r="I231" s="33">
        <f>IF($C231="","",IFERROR($E231*VLOOKUP($C231,'2_Control_de_Stock'!$A$11:$N$210,10,0),0))</f>
        <v/>
      </c>
      <c r="J231" s="36">
        <f>IF($G231="","",$G231-$I231)</f>
        <v/>
      </c>
      <c r="K231" s="37">
        <f>IF($C231="","",IFERROR(VLOOKUP($C231,'2_Control_de_Stock'!$A$11:$N$210,3,0),""))</f>
        <v/>
      </c>
    </row>
    <row r="232">
      <c r="A232" s="21" t="n"/>
      <c r="B232" s="22" t="n"/>
      <c r="C232" s="22" t="n"/>
      <c r="D232" s="35">
        <f>IF($C232="","",IFERROR(VLOOKUP($C232,'2_Control_de_Stock'!$A$11:$N$210,2,0),"⚠️ SKU no existe"))</f>
        <v/>
      </c>
      <c r="E232" s="24" t="n"/>
      <c r="F232" s="33">
        <f>IF($C232="","",IFERROR(VLOOKUP($C232,'2_Control_de_Stock'!$A$11:$N$210,11,0),0))</f>
        <v/>
      </c>
      <c r="G232" s="26">
        <f>IF(OR($C232="",$E232=""),"",$E232*$F232)</f>
        <v/>
      </c>
      <c r="H232" s="22" t="n"/>
      <c r="I232" s="33">
        <f>IF($C232="","",IFERROR($E232*VLOOKUP($C232,'2_Control_de_Stock'!$A$11:$N$210,10,0),0))</f>
        <v/>
      </c>
      <c r="J232" s="36">
        <f>IF($G232="","",$G232-$I232)</f>
        <v/>
      </c>
      <c r="K232" s="37">
        <f>IF($C232="","",IFERROR(VLOOKUP($C232,'2_Control_de_Stock'!$A$11:$N$210,3,0),""))</f>
        <v/>
      </c>
    </row>
    <row r="233">
      <c r="A233" s="21" t="n"/>
      <c r="B233" s="22" t="n"/>
      <c r="C233" s="22" t="n"/>
      <c r="D233" s="35">
        <f>IF($C233="","",IFERROR(VLOOKUP($C233,'2_Control_de_Stock'!$A$11:$N$210,2,0),"⚠️ SKU no existe"))</f>
        <v/>
      </c>
      <c r="E233" s="24" t="n"/>
      <c r="F233" s="33">
        <f>IF($C233="","",IFERROR(VLOOKUP($C233,'2_Control_de_Stock'!$A$11:$N$210,11,0),0))</f>
        <v/>
      </c>
      <c r="G233" s="26">
        <f>IF(OR($C233="",$E233=""),"",$E233*$F233)</f>
        <v/>
      </c>
      <c r="H233" s="22" t="n"/>
      <c r="I233" s="33">
        <f>IF($C233="","",IFERROR($E233*VLOOKUP($C233,'2_Control_de_Stock'!$A$11:$N$210,10,0),0))</f>
        <v/>
      </c>
      <c r="J233" s="36">
        <f>IF($G233="","",$G233-$I233)</f>
        <v/>
      </c>
      <c r="K233" s="37">
        <f>IF($C233="","",IFERROR(VLOOKUP($C233,'2_Control_de_Stock'!$A$11:$N$210,3,0),""))</f>
        <v/>
      </c>
    </row>
    <row r="234">
      <c r="A234" s="21" t="n"/>
      <c r="B234" s="22" t="n"/>
      <c r="C234" s="22" t="n"/>
      <c r="D234" s="35">
        <f>IF($C234="","",IFERROR(VLOOKUP($C234,'2_Control_de_Stock'!$A$11:$N$210,2,0),"⚠️ SKU no existe"))</f>
        <v/>
      </c>
      <c r="E234" s="24" t="n"/>
      <c r="F234" s="33">
        <f>IF($C234="","",IFERROR(VLOOKUP($C234,'2_Control_de_Stock'!$A$11:$N$210,11,0),0))</f>
        <v/>
      </c>
      <c r="G234" s="26">
        <f>IF(OR($C234="",$E234=""),"",$E234*$F234)</f>
        <v/>
      </c>
      <c r="H234" s="22" t="n"/>
      <c r="I234" s="33">
        <f>IF($C234="","",IFERROR($E234*VLOOKUP($C234,'2_Control_de_Stock'!$A$11:$N$210,10,0),0))</f>
        <v/>
      </c>
      <c r="J234" s="36">
        <f>IF($G234="","",$G234-$I234)</f>
        <v/>
      </c>
      <c r="K234" s="37">
        <f>IF($C234="","",IFERROR(VLOOKUP($C234,'2_Control_de_Stock'!$A$11:$N$210,3,0),""))</f>
        <v/>
      </c>
    </row>
    <row r="235">
      <c r="A235" s="21" t="n"/>
      <c r="B235" s="22" t="n"/>
      <c r="C235" s="22" t="n"/>
      <c r="D235" s="35">
        <f>IF($C235="","",IFERROR(VLOOKUP($C235,'2_Control_de_Stock'!$A$11:$N$210,2,0),"⚠️ SKU no existe"))</f>
        <v/>
      </c>
      <c r="E235" s="24" t="n"/>
      <c r="F235" s="33">
        <f>IF($C235="","",IFERROR(VLOOKUP($C235,'2_Control_de_Stock'!$A$11:$N$210,11,0),0))</f>
        <v/>
      </c>
      <c r="G235" s="26">
        <f>IF(OR($C235="",$E235=""),"",$E235*$F235)</f>
        <v/>
      </c>
      <c r="H235" s="22" t="n"/>
      <c r="I235" s="33">
        <f>IF($C235="","",IFERROR($E235*VLOOKUP($C235,'2_Control_de_Stock'!$A$11:$N$210,10,0),0))</f>
        <v/>
      </c>
      <c r="J235" s="36">
        <f>IF($G235="","",$G235-$I235)</f>
        <v/>
      </c>
      <c r="K235" s="37">
        <f>IF($C235="","",IFERROR(VLOOKUP($C235,'2_Control_de_Stock'!$A$11:$N$210,3,0),""))</f>
        <v/>
      </c>
    </row>
    <row r="236">
      <c r="A236" s="21" t="n"/>
      <c r="B236" s="22" t="n"/>
      <c r="C236" s="22" t="n"/>
      <c r="D236" s="35">
        <f>IF($C236="","",IFERROR(VLOOKUP($C236,'2_Control_de_Stock'!$A$11:$N$210,2,0),"⚠️ SKU no existe"))</f>
        <v/>
      </c>
      <c r="E236" s="24" t="n"/>
      <c r="F236" s="33">
        <f>IF($C236="","",IFERROR(VLOOKUP($C236,'2_Control_de_Stock'!$A$11:$N$210,11,0),0))</f>
        <v/>
      </c>
      <c r="G236" s="26">
        <f>IF(OR($C236="",$E236=""),"",$E236*$F236)</f>
        <v/>
      </c>
      <c r="H236" s="22" t="n"/>
      <c r="I236" s="33">
        <f>IF($C236="","",IFERROR($E236*VLOOKUP($C236,'2_Control_de_Stock'!$A$11:$N$210,10,0),0))</f>
        <v/>
      </c>
      <c r="J236" s="36">
        <f>IF($G236="","",$G236-$I236)</f>
        <v/>
      </c>
      <c r="K236" s="37">
        <f>IF($C236="","",IFERROR(VLOOKUP($C236,'2_Control_de_Stock'!$A$11:$N$210,3,0),""))</f>
        <v/>
      </c>
    </row>
    <row r="237">
      <c r="A237" s="21" t="n"/>
      <c r="B237" s="22" t="n"/>
      <c r="C237" s="22" t="n"/>
      <c r="D237" s="35">
        <f>IF($C237="","",IFERROR(VLOOKUP($C237,'2_Control_de_Stock'!$A$11:$N$210,2,0),"⚠️ SKU no existe"))</f>
        <v/>
      </c>
      <c r="E237" s="24" t="n"/>
      <c r="F237" s="33">
        <f>IF($C237="","",IFERROR(VLOOKUP($C237,'2_Control_de_Stock'!$A$11:$N$210,11,0),0))</f>
        <v/>
      </c>
      <c r="G237" s="26">
        <f>IF(OR($C237="",$E237=""),"",$E237*$F237)</f>
        <v/>
      </c>
      <c r="H237" s="22" t="n"/>
      <c r="I237" s="33">
        <f>IF($C237="","",IFERROR($E237*VLOOKUP($C237,'2_Control_de_Stock'!$A$11:$N$210,10,0),0))</f>
        <v/>
      </c>
      <c r="J237" s="36">
        <f>IF($G237="","",$G237-$I237)</f>
        <v/>
      </c>
      <c r="K237" s="37">
        <f>IF($C237="","",IFERROR(VLOOKUP($C237,'2_Control_de_Stock'!$A$11:$N$210,3,0),""))</f>
        <v/>
      </c>
    </row>
    <row r="238">
      <c r="A238" s="21" t="n"/>
      <c r="B238" s="22" t="n"/>
      <c r="C238" s="22" t="n"/>
      <c r="D238" s="35">
        <f>IF($C238="","",IFERROR(VLOOKUP($C238,'2_Control_de_Stock'!$A$11:$N$210,2,0),"⚠️ SKU no existe"))</f>
        <v/>
      </c>
      <c r="E238" s="24" t="n"/>
      <c r="F238" s="33">
        <f>IF($C238="","",IFERROR(VLOOKUP($C238,'2_Control_de_Stock'!$A$11:$N$210,11,0),0))</f>
        <v/>
      </c>
      <c r="G238" s="26">
        <f>IF(OR($C238="",$E238=""),"",$E238*$F238)</f>
        <v/>
      </c>
      <c r="H238" s="22" t="n"/>
      <c r="I238" s="33">
        <f>IF($C238="","",IFERROR($E238*VLOOKUP($C238,'2_Control_de_Stock'!$A$11:$N$210,10,0),0))</f>
        <v/>
      </c>
      <c r="J238" s="36">
        <f>IF($G238="","",$G238-$I238)</f>
        <v/>
      </c>
      <c r="K238" s="37">
        <f>IF($C238="","",IFERROR(VLOOKUP($C238,'2_Control_de_Stock'!$A$11:$N$210,3,0),""))</f>
        <v/>
      </c>
    </row>
    <row r="239">
      <c r="A239" s="21" t="n"/>
      <c r="B239" s="22" t="n"/>
      <c r="C239" s="22" t="n"/>
      <c r="D239" s="35">
        <f>IF($C239="","",IFERROR(VLOOKUP($C239,'2_Control_de_Stock'!$A$11:$N$210,2,0),"⚠️ SKU no existe"))</f>
        <v/>
      </c>
      <c r="E239" s="24" t="n"/>
      <c r="F239" s="33">
        <f>IF($C239="","",IFERROR(VLOOKUP($C239,'2_Control_de_Stock'!$A$11:$N$210,11,0),0))</f>
        <v/>
      </c>
      <c r="G239" s="26">
        <f>IF(OR($C239="",$E239=""),"",$E239*$F239)</f>
        <v/>
      </c>
      <c r="H239" s="22" t="n"/>
      <c r="I239" s="33">
        <f>IF($C239="","",IFERROR($E239*VLOOKUP($C239,'2_Control_de_Stock'!$A$11:$N$210,10,0),0))</f>
        <v/>
      </c>
      <c r="J239" s="36">
        <f>IF($G239="","",$G239-$I239)</f>
        <v/>
      </c>
      <c r="K239" s="37">
        <f>IF($C239="","",IFERROR(VLOOKUP($C239,'2_Control_de_Stock'!$A$11:$N$210,3,0),""))</f>
        <v/>
      </c>
    </row>
    <row r="240">
      <c r="A240" s="21" t="n"/>
      <c r="B240" s="22" t="n"/>
      <c r="C240" s="22" t="n"/>
      <c r="D240" s="35">
        <f>IF($C240="","",IFERROR(VLOOKUP($C240,'2_Control_de_Stock'!$A$11:$N$210,2,0),"⚠️ SKU no existe"))</f>
        <v/>
      </c>
      <c r="E240" s="24" t="n"/>
      <c r="F240" s="33">
        <f>IF($C240="","",IFERROR(VLOOKUP($C240,'2_Control_de_Stock'!$A$11:$N$210,11,0),0))</f>
        <v/>
      </c>
      <c r="G240" s="26">
        <f>IF(OR($C240="",$E240=""),"",$E240*$F240)</f>
        <v/>
      </c>
      <c r="H240" s="22" t="n"/>
      <c r="I240" s="33">
        <f>IF($C240="","",IFERROR($E240*VLOOKUP($C240,'2_Control_de_Stock'!$A$11:$N$210,10,0),0))</f>
        <v/>
      </c>
      <c r="J240" s="36">
        <f>IF($G240="","",$G240-$I240)</f>
        <v/>
      </c>
      <c r="K240" s="37">
        <f>IF($C240="","",IFERROR(VLOOKUP($C240,'2_Control_de_Stock'!$A$11:$N$210,3,0),""))</f>
        <v/>
      </c>
    </row>
    <row r="241">
      <c r="A241" s="21" t="n"/>
      <c r="B241" s="22" t="n"/>
      <c r="C241" s="22" t="n"/>
      <c r="D241" s="35">
        <f>IF($C241="","",IFERROR(VLOOKUP($C241,'2_Control_de_Stock'!$A$11:$N$210,2,0),"⚠️ SKU no existe"))</f>
        <v/>
      </c>
      <c r="E241" s="24" t="n"/>
      <c r="F241" s="33">
        <f>IF($C241="","",IFERROR(VLOOKUP($C241,'2_Control_de_Stock'!$A$11:$N$210,11,0),0))</f>
        <v/>
      </c>
      <c r="G241" s="26">
        <f>IF(OR($C241="",$E241=""),"",$E241*$F241)</f>
        <v/>
      </c>
      <c r="H241" s="22" t="n"/>
      <c r="I241" s="33">
        <f>IF($C241="","",IFERROR($E241*VLOOKUP($C241,'2_Control_de_Stock'!$A$11:$N$210,10,0),0))</f>
        <v/>
      </c>
      <c r="J241" s="36">
        <f>IF($G241="","",$G241-$I241)</f>
        <v/>
      </c>
      <c r="K241" s="37">
        <f>IF($C241="","",IFERROR(VLOOKUP($C241,'2_Control_de_Stock'!$A$11:$N$210,3,0),""))</f>
        <v/>
      </c>
    </row>
    <row r="242">
      <c r="A242" s="21" t="n"/>
      <c r="B242" s="22" t="n"/>
      <c r="C242" s="22" t="n"/>
      <c r="D242" s="35">
        <f>IF($C242="","",IFERROR(VLOOKUP($C242,'2_Control_de_Stock'!$A$11:$N$210,2,0),"⚠️ SKU no existe"))</f>
        <v/>
      </c>
      <c r="E242" s="24" t="n"/>
      <c r="F242" s="33">
        <f>IF($C242="","",IFERROR(VLOOKUP($C242,'2_Control_de_Stock'!$A$11:$N$210,11,0),0))</f>
        <v/>
      </c>
      <c r="G242" s="26">
        <f>IF(OR($C242="",$E242=""),"",$E242*$F242)</f>
        <v/>
      </c>
      <c r="H242" s="22" t="n"/>
      <c r="I242" s="33">
        <f>IF($C242="","",IFERROR($E242*VLOOKUP($C242,'2_Control_de_Stock'!$A$11:$N$210,10,0),0))</f>
        <v/>
      </c>
      <c r="J242" s="36">
        <f>IF($G242="","",$G242-$I242)</f>
        <v/>
      </c>
      <c r="K242" s="37">
        <f>IF($C242="","",IFERROR(VLOOKUP($C242,'2_Control_de_Stock'!$A$11:$N$210,3,0),""))</f>
        <v/>
      </c>
    </row>
    <row r="243">
      <c r="A243" s="21" t="n"/>
      <c r="B243" s="22" t="n"/>
      <c r="C243" s="22" t="n"/>
      <c r="D243" s="35">
        <f>IF($C243="","",IFERROR(VLOOKUP($C243,'2_Control_de_Stock'!$A$11:$N$210,2,0),"⚠️ SKU no existe"))</f>
        <v/>
      </c>
      <c r="E243" s="24" t="n"/>
      <c r="F243" s="33">
        <f>IF($C243="","",IFERROR(VLOOKUP($C243,'2_Control_de_Stock'!$A$11:$N$210,11,0),0))</f>
        <v/>
      </c>
      <c r="G243" s="26">
        <f>IF(OR($C243="",$E243=""),"",$E243*$F243)</f>
        <v/>
      </c>
      <c r="H243" s="22" t="n"/>
      <c r="I243" s="33">
        <f>IF($C243="","",IFERROR($E243*VLOOKUP($C243,'2_Control_de_Stock'!$A$11:$N$210,10,0),0))</f>
        <v/>
      </c>
      <c r="J243" s="36">
        <f>IF($G243="","",$G243-$I243)</f>
        <v/>
      </c>
      <c r="K243" s="37">
        <f>IF($C243="","",IFERROR(VLOOKUP($C243,'2_Control_de_Stock'!$A$11:$N$210,3,0),""))</f>
        <v/>
      </c>
    </row>
    <row r="244">
      <c r="A244" s="21" t="n"/>
      <c r="B244" s="22" t="n"/>
      <c r="C244" s="22" t="n"/>
      <c r="D244" s="35">
        <f>IF($C244="","",IFERROR(VLOOKUP($C244,'2_Control_de_Stock'!$A$11:$N$210,2,0),"⚠️ SKU no existe"))</f>
        <v/>
      </c>
      <c r="E244" s="24" t="n"/>
      <c r="F244" s="33">
        <f>IF($C244="","",IFERROR(VLOOKUP($C244,'2_Control_de_Stock'!$A$11:$N$210,11,0),0))</f>
        <v/>
      </c>
      <c r="G244" s="26">
        <f>IF(OR($C244="",$E244=""),"",$E244*$F244)</f>
        <v/>
      </c>
      <c r="H244" s="22" t="n"/>
      <c r="I244" s="33">
        <f>IF($C244="","",IFERROR($E244*VLOOKUP($C244,'2_Control_de_Stock'!$A$11:$N$210,10,0),0))</f>
        <v/>
      </c>
      <c r="J244" s="36">
        <f>IF($G244="","",$G244-$I244)</f>
        <v/>
      </c>
      <c r="K244" s="37">
        <f>IF($C244="","",IFERROR(VLOOKUP($C244,'2_Control_de_Stock'!$A$11:$N$210,3,0),""))</f>
        <v/>
      </c>
    </row>
    <row r="245">
      <c r="A245" s="21" t="n"/>
      <c r="B245" s="22" t="n"/>
      <c r="C245" s="22" t="n"/>
      <c r="D245" s="35">
        <f>IF($C245="","",IFERROR(VLOOKUP($C245,'2_Control_de_Stock'!$A$11:$N$210,2,0),"⚠️ SKU no existe"))</f>
        <v/>
      </c>
      <c r="E245" s="24" t="n"/>
      <c r="F245" s="33">
        <f>IF($C245="","",IFERROR(VLOOKUP($C245,'2_Control_de_Stock'!$A$11:$N$210,11,0),0))</f>
        <v/>
      </c>
      <c r="G245" s="26">
        <f>IF(OR($C245="",$E245=""),"",$E245*$F245)</f>
        <v/>
      </c>
      <c r="H245" s="22" t="n"/>
      <c r="I245" s="33">
        <f>IF($C245="","",IFERROR($E245*VLOOKUP($C245,'2_Control_de_Stock'!$A$11:$N$210,10,0),0))</f>
        <v/>
      </c>
      <c r="J245" s="36">
        <f>IF($G245="","",$G245-$I245)</f>
        <v/>
      </c>
      <c r="K245" s="37">
        <f>IF($C245="","",IFERROR(VLOOKUP($C245,'2_Control_de_Stock'!$A$11:$N$210,3,0),""))</f>
        <v/>
      </c>
    </row>
    <row r="246">
      <c r="A246" s="21" t="n"/>
      <c r="B246" s="22" t="n"/>
      <c r="C246" s="22" t="n"/>
      <c r="D246" s="35">
        <f>IF($C246="","",IFERROR(VLOOKUP($C246,'2_Control_de_Stock'!$A$11:$N$210,2,0),"⚠️ SKU no existe"))</f>
        <v/>
      </c>
      <c r="E246" s="24" t="n"/>
      <c r="F246" s="33">
        <f>IF($C246="","",IFERROR(VLOOKUP($C246,'2_Control_de_Stock'!$A$11:$N$210,11,0),0))</f>
        <v/>
      </c>
      <c r="G246" s="26">
        <f>IF(OR($C246="",$E246=""),"",$E246*$F246)</f>
        <v/>
      </c>
      <c r="H246" s="22" t="n"/>
      <c r="I246" s="33">
        <f>IF($C246="","",IFERROR($E246*VLOOKUP($C246,'2_Control_de_Stock'!$A$11:$N$210,10,0),0))</f>
        <v/>
      </c>
      <c r="J246" s="36">
        <f>IF($G246="","",$G246-$I246)</f>
        <v/>
      </c>
      <c r="K246" s="37">
        <f>IF($C246="","",IFERROR(VLOOKUP($C246,'2_Control_de_Stock'!$A$11:$N$210,3,0),""))</f>
        <v/>
      </c>
    </row>
    <row r="247">
      <c r="A247" s="21" t="n"/>
      <c r="B247" s="22" t="n"/>
      <c r="C247" s="22" t="n"/>
      <c r="D247" s="35">
        <f>IF($C247="","",IFERROR(VLOOKUP($C247,'2_Control_de_Stock'!$A$11:$N$210,2,0),"⚠️ SKU no existe"))</f>
        <v/>
      </c>
      <c r="E247" s="24" t="n"/>
      <c r="F247" s="33">
        <f>IF($C247="","",IFERROR(VLOOKUP($C247,'2_Control_de_Stock'!$A$11:$N$210,11,0),0))</f>
        <v/>
      </c>
      <c r="G247" s="26">
        <f>IF(OR($C247="",$E247=""),"",$E247*$F247)</f>
        <v/>
      </c>
      <c r="H247" s="22" t="n"/>
      <c r="I247" s="33">
        <f>IF($C247="","",IFERROR($E247*VLOOKUP($C247,'2_Control_de_Stock'!$A$11:$N$210,10,0),0))</f>
        <v/>
      </c>
      <c r="J247" s="36">
        <f>IF($G247="","",$G247-$I247)</f>
        <v/>
      </c>
      <c r="K247" s="37">
        <f>IF($C247="","",IFERROR(VLOOKUP($C247,'2_Control_de_Stock'!$A$11:$N$210,3,0),""))</f>
        <v/>
      </c>
    </row>
    <row r="248">
      <c r="A248" s="21" t="n"/>
      <c r="B248" s="22" t="n"/>
      <c r="C248" s="22" t="n"/>
      <c r="D248" s="35">
        <f>IF($C248="","",IFERROR(VLOOKUP($C248,'2_Control_de_Stock'!$A$11:$N$210,2,0),"⚠️ SKU no existe"))</f>
        <v/>
      </c>
      <c r="E248" s="24" t="n"/>
      <c r="F248" s="33">
        <f>IF($C248="","",IFERROR(VLOOKUP($C248,'2_Control_de_Stock'!$A$11:$N$210,11,0),0))</f>
        <v/>
      </c>
      <c r="G248" s="26">
        <f>IF(OR($C248="",$E248=""),"",$E248*$F248)</f>
        <v/>
      </c>
      <c r="H248" s="22" t="n"/>
      <c r="I248" s="33">
        <f>IF($C248="","",IFERROR($E248*VLOOKUP($C248,'2_Control_de_Stock'!$A$11:$N$210,10,0),0))</f>
        <v/>
      </c>
      <c r="J248" s="36">
        <f>IF($G248="","",$G248-$I248)</f>
        <v/>
      </c>
      <c r="K248" s="37">
        <f>IF($C248="","",IFERROR(VLOOKUP($C248,'2_Control_de_Stock'!$A$11:$N$210,3,0),""))</f>
        <v/>
      </c>
    </row>
    <row r="249">
      <c r="A249" s="21" t="n"/>
      <c r="B249" s="22" t="n"/>
      <c r="C249" s="22" t="n"/>
      <c r="D249" s="35">
        <f>IF($C249="","",IFERROR(VLOOKUP($C249,'2_Control_de_Stock'!$A$11:$N$210,2,0),"⚠️ SKU no existe"))</f>
        <v/>
      </c>
      <c r="E249" s="24" t="n"/>
      <c r="F249" s="33">
        <f>IF($C249="","",IFERROR(VLOOKUP($C249,'2_Control_de_Stock'!$A$11:$N$210,11,0),0))</f>
        <v/>
      </c>
      <c r="G249" s="26">
        <f>IF(OR($C249="",$E249=""),"",$E249*$F249)</f>
        <v/>
      </c>
      <c r="H249" s="22" t="n"/>
      <c r="I249" s="33">
        <f>IF($C249="","",IFERROR($E249*VLOOKUP($C249,'2_Control_de_Stock'!$A$11:$N$210,10,0),0))</f>
        <v/>
      </c>
      <c r="J249" s="36">
        <f>IF($G249="","",$G249-$I249)</f>
        <v/>
      </c>
      <c r="K249" s="37">
        <f>IF($C249="","",IFERROR(VLOOKUP($C249,'2_Control_de_Stock'!$A$11:$N$210,3,0),""))</f>
        <v/>
      </c>
    </row>
    <row r="250">
      <c r="A250" s="21" t="n"/>
      <c r="B250" s="22" t="n"/>
      <c r="C250" s="22" t="n"/>
      <c r="D250" s="35">
        <f>IF($C250="","",IFERROR(VLOOKUP($C250,'2_Control_de_Stock'!$A$11:$N$210,2,0),"⚠️ SKU no existe"))</f>
        <v/>
      </c>
      <c r="E250" s="24" t="n"/>
      <c r="F250" s="33">
        <f>IF($C250="","",IFERROR(VLOOKUP($C250,'2_Control_de_Stock'!$A$11:$N$210,11,0),0))</f>
        <v/>
      </c>
      <c r="G250" s="26">
        <f>IF(OR($C250="",$E250=""),"",$E250*$F250)</f>
        <v/>
      </c>
      <c r="H250" s="22" t="n"/>
      <c r="I250" s="33">
        <f>IF($C250="","",IFERROR($E250*VLOOKUP($C250,'2_Control_de_Stock'!$A$11:$N$210,10,0),0))</f>
        <v/>
      </c>
      <c r="J250" s="36">
        <f>IF($G250="","",$G250-$I250)</f>
        <v/>
      </c>
      <c r="K250" s="37">
        <f>IF($C250="","",IFERROR(VLOOKUP($C250,'2_Control_de_Stock'!$A$11:$N$210,3,0),""))</f>
        <v/>
      </c>
    </row>
    <row r="251">
      <c r="A251" s="21" t="n"/>
      <c r="B251" s="22" t="n"/>
      <c r="C251" s="22" t="n"/>
      <c r="D251" s="35">
        <f>IF($C251="","",IFERROR(VLOOKUP($C251,'2_Control_de_Stock'!$A$11:$N$210,2,0),"⚠️ SKU no existe"))</f>
        <v/>
      </c>
      <c r="E251" s="24" t="n"/>
      <c r="F251" s="33">
        <f>IF($C251="","",IFERROR(VLOOKUP($C251,'2_Control_de_Stock'!$A$11:$N$210,11,0),0))</f>
        <v/>
      </c>
      <c r="G251" s="26">
        <f>IF(OR($C251="",$E251=""),"",$E251*$F251)</f>
        <v/>
      </c>
      <c r="H251" s="22" t="n"/>
      <c r="I251" s="33">
        <f>IF($C251="","",IFERROR($E251*VLOOKUP($C251,'2_Control_de_Stock'!$A$11:$N$210,10,0),0))</f>
        <v/>
      </c>
      <c r="J251" s="36">
        <f>IF($G251="","",$G251-$I251)</f>
        <v/>
      </c>
      <c r="K251" s="37">
        <f>IF($C251="","",IFERROR(VLOOKUP($C251,'2_Control_de_Stock'!$A$11:$N$210,3,0),""))</f>
        <v/>
      </c>
    </row>
    <row r="252">
      <c r="A252" s="21" t="n"/>
      <c r="B252" s="22" t="n"/>
      <c r="C252" s="22" t="n"/>
      <c r="D252" s="35">
        <f>IF($C252="","",IFERROR(VLOOKUP($C252,'2_Control_de_Stock'!$A$11:$N$210,2,0),"⚠️ SKU no existe"))</f>
        <v/>
      </c>
      <c r="E252" s="24" t="n"/>
      <c r="F252" s="33">
        <f>IF($C252="","",IFERROR(VLOOKUP($C252,'2_Control_de_Stock'!$A$11:$N$210,11,0),0))</f>
        <v/>
      </c>
      <c r="G252" s="26">
        <f>IF(OR($C252="",$E252=""),"",$E252*$F252)</f>
        <v/>
      </c>
      <c r="H252" s="22" t="n"/>
      <c r="I252" s="33">
        <f>IF($C252="","",IFERROR($E252*VLOOKUP($C252,'2_Control_de_Stock'!$A$11:$N$210,10,0),0))</f>
        <v/>
      </c>
      <c r="J252" s="36">
        <f>IF($G252="","",$G252-$I252)</f>
        <v/>
      </c>
      <c r="K252" s="37">
        <f>IF($C252="","",IFERROR(VLOOKUP($C252,'2_Control_de_Stock'!$A$11:$N$210,3,0),""))</f>
        <v/>
      </c>
    </row>
    <row r="253">
      <c r="A253" s="21" t="n"/>
      <c r="B253" s="22" t="n"/>
      <c r="C253" s="22" t="n"/>
      <c r="D253" s="35">
        <f>IF($C253="","",IFERROR(VLOOKUP($C253,'2_Control_de_Stock'!$A$11:$N$210,2,0),"⚠️ SKU no existe"))</f>
        <v/>
      </c>
      <c r="E253" s="24" t="n"/>
      <c r="F253" s="33">
        <f>IF($C253="","",IFERROR(VLOOKUP($C253,'2_Control_de_Stock'!$A$11:$N$210,11,0),0))</f>
        <v/>
      </c>
      <c r="G253" s="26">
        <f>IF(OR($C253="",$E253=""),"",$E253*$F253)</f>
        <v/>
      </c>
      <c r="H253" s="22" t="n"/>
      <c r="I253" s="33">
        <f>IF($C253="","",IFERROR($E253*VLOOKUP($C253,'2_Control_de_Stock'!$A$11:$N$210,10,0),0))</f>
        <v/>
      </c>
      <c r="J253" s="36">
        <f>IF($G253="","",$G253-$I253)</f>
        <v/>
      </c>
      <c r="K253" s="37">
        <f>IF($C253="","",IFERROR(VLOOKUP($C253,'2_Control_de_Stock'!$A$11:$N$210,3,0),""))</f>
        <v/>
      </c>
    </row>
    <row r="254">
      <c r="A254" s="21" t="n"/>
      <c r="B254" s="22" t="n"/>
      <c r="C254" s="22" t="n"/>
      <c r="D254" s="35">
        <f>IF($C254="","",IFERROR(VLOOKUP($C254,'2_Control_de_Stock'!$A$11:$N$210,2,0),"⚠️ SKU no existe"))</f>
        <v/>
      </c>
      <c r="E254" s="24" t="n"/>
      <c r="F254" s="33">
        <f>IF($C254="","",IFERROR(VLOOKUP($C254,'2_Control_de_Stock'!$A$11:$N$210,11,0),0))</f>
        <v/>
      </c>
      <c r="G254" s="26">
        <f>IF(OR($C254="",$E254=""),"",$E254*$F254)</f>
        <v/>
      </c>
      <c r="H254" s="22" t="n"/>
      <c r="I254" s="33">
        <f>IF($C254="","",IFERROR($E254*VLOOKUP($C254,'2_Control_de_Stock'!$A$11:$N$210,10,0),0))</f>
        <v/>
      </c>
      <c r="J254" s="36">
        <f>IF($G254="","",$G254-$I254)</f>
        <v/>
      </c>
      <c r="K254" s="37">
        <f>IF($C254="","",IFERROR(VLOOKUP($C254,'2_Control_de_Stock'!$A$11:$N$210,3,0),""))</f>
        <v/>
      </c>
    </row>
    <row r="255">
      <c r="A255" s="21" t="n"/>
      <c r="B255" s="22" t="n"/>
      <c r="C255" s="22" t="n"/>
      <c r="D255" s="35">
        <f>IF($C255="","",IFERROR(VLOOKUP($C255,'2_Control_de_Stock'!$A$11:$N$210,2,0),"⚠️ SKU no existe"))</f>
        <v/>
      </c>
      <c r="E255" s="24" t="n"/>
      <c r="F255" s="33">
        <f>IF($C255="","",IFERROR(VLOOKUP($C255,'2_Control_de_Stock'!$A$11:$N$210,11,0),0))</f>
        <v/>
      </c>
      <c r="G255" s="26">
        <f>IF(OR($C255="",$E255=""),"",$E255*$F255)</f>
        <v/>
      </c>
      <c r="H255" s="22" t="n"/>
      <c r="I255" s="33">
        <f>IF($C255="","",IFERROR($E255*VLOOKUP($C255,'2_Control_de_Stock'!$A$11:$N$210,10,0),0))</f>
        <v/>
      </c>
      <c r="J255" s="36">
        <f>IF($G255="","",$G255-$I255)</f>
        <v/>
      </c>
      <c r="K255" s="37">
        <f>IF($C255="","",IFERROR(VLOOKUP($C255,'2_Control_de_Stock'!$A$11:$N$210,3,0),""))</f>
        <v/>
      </c>
    </row>
    <row r="256">
      <c r="A256" s="21" t="n"/>
      <c r="B256" s="22" t="n"/>
      <c r="C256" s="22" t="n"/>
      <c r="D256" s="35">
        <f>IF($C256="","",IFERROR(VLOOKUP($C256,'2_Control_de_Stock'!$A$11:$N$210,2,0),"⚠️ SKU no existe"))</f>
        <v/>
      </c>
      <c r="E256" s="24" t="n"/>
      <c r="F256" s="33">
        <f>IF($C256="","",IFERROR(VLOOKUP($C256,'2_Control_de_Stock'!$A$11:$N$210,11,0),0))</f>
        <v/>
      </c>
      <c r="G256" s="26">
        <f>IF(OR($C256="",$E256=""),"",$E256*$F256)</f>
        <v/>
      </c>
      <c r="H256" s="22" t="n"/>
      <c r="I256" s="33">
        <f>IF($C256="","",IFERROR($E256*VLOOKUP($C256,'2_Control_de_Stock'!$A$11:$N$210,10,0),0))</f>
        <v/>
      </c>
      <c r="J256" s="36">
        <f>IF($G256="","",$G256-$I256)</f>
        <v/>
      </c>
      <c r="K256" s="37">
        <f>IF($C256="","",IFERROR(VLOOKUP($C256,'2_Control_de_Stock'!$A$11:$N$210,3,0),""))</f>
        <v/>
      </c>
    </row>
    <row r="257">
      <c r="A257" s="21" t="n"/>
      <c r="B257" s="22" t="n"/>
      <c r="C257" s="22" t="n"/>
      <c r="D257" s="35">
        <f>IF($C257="","",IFERROR(VLOOKUP($C257,'2_Control_de_Stock'!$A$11:$N$210,2,0),"⚠️ SKU no existe"))</f>
        <v/>
      </c>
      <c r="E257" s="24" t="n"/>
      <c r="F257" s="33">
        <f>IF($C257="","",IFERROR(VLOOKUP($C257,'2_Control_de_Stock'!$A$11:$N$210,11,0),0))</f>
        <v/>
      </c>
      <c r="G257" s="26">
        <f>IF(OR($C257="",$E257=""),"",$E257*$F257)</f>
        <v/>
      </c>
      <c r="H257" s="22" t="n"/>
      <c r="I257" s="33">
        <f>IF($C257="","",IFERROR($E257*VLOOKUP($C257,'2_Control_de_Stock'!$A$11:$N$210,10,0),0))</f>
        <v/>
      </c>
      <c r="J257" s="36">
        <f>IF($G257="","",$G257-$I257)</f>
        <v/>
      </c>
      <c r="K257" s="37">
        <f>IF($C257="","",IFERROR(VLOOKUP($C257,'2_Control_de_Stock'!$A$11:$N$210,3,0),""))</f>
        <v/>
      </c>
    </row>
    <row r="258">
      <c r="A258" s="21" t="n"/>
      <c r="B258" s="22" t="n"/>
      <c r="C258" s="22" t="n"/>
      <c r="D258" s="35">
        <f>IF($C258="","",IFERROR(VLOOKUP($C258,'2_Control_de_Stock'!$A$11:$N$210,2,0),"⚠️ SKU no existe"))</f>
        <v/>
      </c>
      <c r="E258" s="24" t="n"/>
      <c r="F258" s="33">
        <f>IF($C258="","",IFERROR(VLOOKUP($C258,'2_Control_de_Stock'!$A$11:$N$210,11,0),0))</f>
        <v/>
      </c>
      <c r="G258" s="26">
        <f>IF(OR($C258="",$E258=""),"",$E258*$F258)</f>
        <v/>
      </c>
      <c r="H258" s="22" t="n"/>
      <c r="I258" s="33">
        <f>IF($C258="","",IFERROR($E258*VLOOKUP($C258,'2_Control_de_Stock'!$A$11:$N$210,10,0),0))</f>
        <v/>
      </c>
      <c r="J258" s="36">
        <f>IF($G258="","",$G258-$I258)</f>
        <v/>
      </c>
      <c r="K258" s="37">
        <f>IF($C258="","",IFERROR(VLOOKUP($C258,'2_Control_de_Stock'!$A$11:$N$210,3,0),""))</f>
        <v/>
      </c>
    </row>
    <row r="259">
      <c r="A259" s="21" t="n"/>
      <c r="B259" s="22" t="n"/>
      <c r="C259" s="22" t="n"/>
      <c r="D259" s="35">
        <f>IF($C259="","",IFERROR(VLOOKUP($C259,'2_Control_de_Stock'!$A$11:$N$210,2,0),"⚠️ SKU no existe"))</f>
        <v/>
      </c>
      <c r="E259" s="24" t="n"/>
      <c r="F259" s="33">
        <f>IF($C259="","",IFERROR(VLOOKUP($C259,'2_Control_de_Stock'!$A$11:$N$210,11,0),0))</f>
        <v/>
      </c>
      <c r="G259" s="26">
        <f>IF(OR($C259="",$E259=""),"",$E259*$F259)</f>
        <v/>
      </c>
      <c r="H259" s="22" t="n"/>
      <c r="I259" s="33">
        <f>IF($C259="","",IFERROR($E259*VLOOKUP($C259,'2_Control_de_Stock'!$A$11:$N$210,10,0),0))</f>
        <v/>
      </c>
      <c r="J259" s="36">
        <f>IF($G259="","",$G259-$I259)</f>
        <v/>
      </c>
      <c r="K259" s="37">
        <f>IF($C259="","",IFERROR(VLOOKUP($C259,'2_Control_de_Stock'!$A$11:$N$210,3,0),""))</f>
        <v/>
      </c>
    </row>
    <row r="260">
      <c r="A260" s="21" t="n"/>
      <c r="B260" s="22" t="n"/>
      <c r="C260" s="22" t="n"/>
      <c r="D260" s="35">
        <f>IF($C260="","",IFERROR(VLOOKUP($C260,'2_Control_de_Stock'!$A$11:$N$210,2,0),"⚠️ SKU no existe"))</f>
        <v/>
      </c>
      <c r="E260" s="24" t="n"/>
      <c r="F260" s="33">
        <f>IF($C260="","",IFERROR(VLOOKUP($C260,'2_Control_de_Stock'!$A$11:$N$210,11,0),0))</f>
        <v/>
      </c>
      <c r="G260" s="26">
        <f>IF(OR($C260="",$E260=""),"",$E260*$F260)</f>
        <v/>
      </c>
      <c r="H260" s="22" t="n"/>
      <c r="I260" s="33">
        <f>IF($C260="","",IFERROR($E260*VLOOKUP($C260,'2_Control_de_Stock'!$A$11:$N$210,10,0),0))</f>
        <v/>
      </c>
      <c r="J260" s="36">
        <f>IF($G260="","",$G260-$I260)</f>
        <v/>
      </c>
      <c r="K260" s="37">
        <f>IF($C260="","",IFERROR(VLOOKUP($C260,'2_Control_de_Stock'!$A$11:$N$210,3,0),""))</f>
        <v/>
      </c>
    </row>
    <row r="261">
      <c r="A261" s="21" t="n"/>
      <c r="B261" s="22" t="n"/>
      <c r="C261" s="22" t="n"/>
      <c r="D261" s="35">
        <f>IF($C261="","",IFERROR(VLOOKUP($C261,'2_Control_de_Stock'!$A$11:$N$210,2,0),"⚠️ SKU no existe"))</f>
        <v/>
      </c>
      <c r="E261" s="24" t="n"/>
      <c r="F261" s="33">
        <f>IF($C261="","",IFERROR(VLOOKUP($C261,'2_Control_de_Stock'!$A$11:$N$210,11,0),0))</f>
        <v/>
      </c>
      <c r="G261" s="26">
        <f>IF(OR($C261="",$E261=""),"",$E261*$F261)</f>
        <v/>
      </c>
      <c r="H261" s="22" t="n"/>
      <c r="I261" s="33">
        <f>IF($C261="","",IFERROR($E261*VLOOKUP($C261,'2_Control_de_Stock'!$A$11:$N$210,10,0),0))</f>
        <v/>
      </c>
      <c r="J261" s="36">
        <f>IF($G261="","",$G261-$I261)</f>
        <v/>
      </c>
      <c r="K261" s="37">
        <f>IF($C261="","",IFERROR(VLOOKUP($C261,'2_Control_de_Stock'!$A$11:$N$210,3,0),""))</f>
        <v/>
      </c>
    </row>
    <row r="262">
      <c r="A262" s="21" t="n"/>
      <c r="B262" s="22" t="n"/>
      <c r="C262" s="22" t="n"/>
      <c r="D262" s="35">
        <f>IF($C262="","",IFERROR(VLOOKUP($C262,'2_Control_de_Stock'!$A$11:$N$210,2,0),"⚠️ SKU no existe"))</f>
        <v/>
      </c>
      <c r="E262" s="24" t="n"/>
      <c r="F262" s="33">
        <f>IF($C262="","",IFERROR(VLOOKUP($C262,'2_Control_de_Stock'!$A$11:$N$210,11,0),0))</f>
        <v/>
      </c>
      <c r="G262" s="26">
        <f>IF(OR($C262="",$E262=""),"",$E262*$F262)</f>
        <v/>
      </c>
      <c r="H262" s="22" t="n"/>
      <c r="I262" s="33">
        <f>IF($C262="","",IFERROR($E262*VLOOKUP($C262,'2_Control_de_Stock'!$A$11:$N$210,10,0),0))</f>
        <v/>
      </c>
      <c r="J262" s="36">
        <f>IF($G262="","",$G262-$I262)</f>
        <v/>
      </c>
      <c r="K262" s="37">
        <f>IF($C262="","",IFERROR(VLOOKUP($C262,'2_Control_de_Stock'!$A$11:$N$210,3,0),""))</f>
        <v/>
      </c>
    </row>
    <row r="263">
      <c r="A263" s="21" t="n"/>
      <c r="B263" s="22" t="n"/>
      <c r="C263" s="22" t="n"/>
      <c r="D263" s="35">
        <f>IF($C263="","",IFERROR(VLOOKUP($C263,'2_Control_de_Stock'!$A$11:$N$210,2,0),"⚠️ SKU no existe"))</f>
        <v/>
      </c>
      <c r="E263" s="24" t="n"/>
      <c r="F263" s="33">
        <f>IF($C263="","",IFERROR(VLOOKUP($C263,'2_Control_de_Stock'!$A$11:$N$210,11,0),0))</f>
        <v/>
      </c>
      <c r="G263" s="26">
        <f>IF(OR($C263="",$E263=""),"",$E263*$F263)</f>
        <v/>
      </c>
      <c r="H263" s="22" t="n"/>
      <c r="I263" s="33">
        <f>IF($C263="","",IFERROR($E263*VLOOKUP($C263,'2_Control_de_Stock'!$A$11:$N$210,10,0),0))</f>
        <v/>
      </c>
      <c r="J263" s="36">
        <f>IF($G263="","",$G263-$I263)</f>
        <v/>
      </c>
      <c r="K263" s="37">
        <f>IF($C263="","",IFERROR(VLOOKUP($C263,'2_Control_de_Stock'!$A$11:$N$210,3,0),""))</f>
        <v/>
      </c>
    </row>
    <row r="264">
      <c r="A264" s="21" t="n"/>
      <c r="B264" s="22" t="n"/>
      <c r="C264" s="22" t="n"/>
      <c r="D264" s="35">
        <f>IF($C264="","",IFERROR(VLOOKUP($C264,'2_Control_de_Stock'!$A$11:$N$210,2,0),"⚠️ SKU no existe"))</f>
        <v/>
      </c>
      <c r="E264" s="24" t="n"/>
      <c r="F264" s="33">
        <f>IF($C264="","",IFERROR(VLOOKUP($C264,'2_Control_de_Stock'!$A$11:$N$210,11,0),0))</f>
        <v/>
      </c>
      <c r="G264" s="26">
        <f>IF(OR($C264="",$E264=""),"",$E264*$F264)</f>
        <v/>
      </c>
      <c r="H264" s="22" t="n"/>
      <c r="I264" s="33">
        <f>IF($C264="","",IFERROR($E264*VLOOKUP($C264,'2_Control_de_Stock'!$A$11:$N$210,10,0),0))</f>
        <v/>
      </c>
      <c r="J264" s="36">
        <f>IF($G264="","",$G264-$I264)</f>
        <v/>
      </c>
      <c r="K264" s="37">
        <f>IF($C264="","",IFERROR(VLOOKUP($C264,'2_Control_de_Stock'!$A$11:$N$210,3,0),""))</f>
        <v/>
      </c>
    </row>
    <row r="265">
      <c r="A265" s="21" t="n"/>
      <c r="B265" s="22" t="n"/>
      <c r="C265" s="22" t="n"/>
      <c r="D265" s="35">
        <f>IF($C265="","",IFERROR(VLOOKUP($C265,'2_Control_de_Stock'!$A$11:$N$210,2,0),"⚠️ SKU no existe"))</f>
        <v/>
      </c>
      <c r="E265" s="24" t="n"/>
      <c r="F265" s="33">
        <f>IF($C265="","",IFERROR(VLOOKUP($C265,'2_Control_de_Stock'!$A$11:$N$210,11,0),0))</f>
        <v/>
      </c>
      <c r="G265" s="26">
        <f>IF(OR($C265="",$E265=""),"",$E265*$F265)</f>
        <v/>
      </c>
      <c r="H265" s="22" t="n"/>
      <c r="I265" s="33">
        <f>IF($C265="","",IFERROR($E265*VLOOKUP($C265,'2_Control_de_Stock'!$A$11:$N$210,10,0),0))</f>
        <v/>
      </c>
      <c r="J265" s="36">
        <f>IF($G265="","",$G265-$I265)</f>
        <v/>
      </c>
      <c r="K265" s="37">
        <f>IF($C265="","",IFERROR(VLOOKUP($C265,'2_Control_de_Stock'!$A$11:$N$210,3,0),""))</f>
        <v/>
      </c>
    </row>
    <row r="266">
      <c r="A266" s="21" t="n"/>
      <c r="B266" s="22" t="n"/>
      <c r="C266" s="22" t="n"/>
      <c r="D266" s="35">
        <f>IF($C266="","",IFERROR(VLOOKUP($C266,'2_Control_de_Stock'!$A$11:$N$210,2,0),"⚠️ SKU no existe"))</f>
        <v/>
      </c>
      <c r="E266" s="24" t="n"/>
      <c r="F266" s="33">
        <f>IF($C266="","",IFERROR(VLOOKUP($C266,'2_Control_de_Stock'!$A$11:$N$210,11,0),0))</f>
        <v/>
      </c>
      <c r="G266" s="26">
        <f>IF(OR($C266="",$E266=""),"",$E266*$F266)</f>
        <v/>
      </c>
      <c r="H266" s="22" t="n"/>
      <c r="I266" s="33">
        <f>IF($C266="","",IFERROR($E266*VLOOKUP($C266,'2_Control_de_Stock'!$A$11:$N$210,10,0),0))</f>
        <v/>
      </c>
      <c r="J266" s="36">
        <f>IF($G266="","",$G266-$I266)</f>
        <v/>
      </c>
      <c r="K266" s="37">
        <f>IF($C266="","",IFERROR(VLOOKUP($C266,'2_Control_de_Stock'!$A$11:$N$210,3,0),""))</f>
        <v/>
      </c>
    </row>
    <row r="267">
      <c r="A267" s="21" t="n"/>
      <c r="B267" s="22" t="n"/>
      <c r="C267" s="22" t="n"/>
      <c r="D267" s="35">
        <f>IF($C267="","",IFERROR(VLOOKUP($C267,'2_Control_de_Stock'!$A$11:$N$210,2,0),"⚠️ SKU no existe"))</f>
        <v/>
      </c>
      <c r="E267" s="24" t="n"/>
      <c r="F267" s="33">
        <f>IF($C267="","",IFERROR(VLOOKUP($C267,'2_Control_de_Stock'!$A$11:$N$210,11,0),0))</f>
        <v/>
      </c>
      <c r="G267" s="26">
        <f>IF(OR($C267="",$E267=""),"",$E267*$F267)</f>
        <v/>
      </c>
      <c r="H267" s="22" t="n"/>
      <c r="I267" s="33">
        <f>IF($C267="","",IFERROR($E267*VLOOKUP($C267,'2_Control_de_Stock'!$A$11:$N$210,10,0),0))</f>
        <v/>
      </c>
      <c r="J267" s="36">
        <f>IF($G267="","",$G267-$I267)</f>
        <v/>
      </c>
      <c r="K267" s="37">
        <f>IF($C267="","",IFERROR(VLOOKUP($C267,'2_Control_de_Stock'!$A$11:$N$210,3,0),""))</f>
        <v/>
      </c>
    </row>
    <row r="268">
      <c r="A268" s="21" t="n"/>
      <c r="B268" s="22" t="n"/>
      <c r="C268" s="22" t="n"/>
      <c r="D268" s="35">
        <f>IF($C268="","",IFERROR(VLOOKUP($C268,'2_Control_de_Stock'!$A$11:$N$210,2,0),"⚠️ SKU no existe"))</f>
        <v/>
      </c>
      <c r="E268" s="24" t="n"/>
      <c r="F268" s="33">
        <f>IF($C268="","",IFERROR(VLOOKUP($C268,'2_Control_de_Stock'!$A$11:$N$210,11,0),0))</f>
        <v/>
      </c>
      <c r="G268" s="26">
        <f>IF(OR($C268="",$E268=""),"",$E268*$F268)</f>
        <v/>
      </c>
      <c r="H268" s="22" t="n"/>
      <c r="I268" s="33">
        <f>IF($C268="","",IFERROR($E268*VLOOKUP($C268,'2_Control_de_Stock'!$A$11:$N$210,10,0),0))</f>
        <v/>
      </c>
      <c r="J268" s="36">
        <f>IF($G268="","",$G268-$I268)</f>
        <v/>
      </c>
      <c r="K268" s="37">
        <f>IF($C268="","",IFERROR(VLOOKUP($C268,'2_Control_de_Stock'!$A$11:$N$210,3,0),""))</f>
        <v/>
      </c>
    </row>
    <row r="269">
      <c r="A269" s="21" t="n"/>
      <c r="B269" s="22" t="n"/>
      <c r="C269" s="22" t="n"/>
      <c r="D269" s="35">
        <f>IF($C269="","",IFERROR(VLOOKUP($C269,'2_Control_de_Stock'!$A$11:$N$210,2,0),"⚠️ SKU no existe"))</f>
        <v/>
      </c>
      <c r="E269" s="24" t="n"/>
      <c r="F269" s="33">
        <f>IF($C269="","",IFERROR(VLOOKUP($C269,'2_Control_de_Stock'!$A$11:$N$210,11,0),0))</f>
        <v/>
      </c>
      <c r="G269" s="26">
        <f>IF(OR($C269="",$E269=""),"",$E269*$F269)</f>
        <v/>
      </c>
      <c r="H269" s="22" t="n"/>
      <c r="I269" s="33">
        <f>IF($C269="","",IFERROR($E269*VLOOKUP($C269,'2_Control_de_Stock'!$A$11:$N$210,10,0),0))</f>
        <v/>
      </c>
      <c r="J269" s="36">
        <f>IF($G269="","",$G269-$I269)</f>
        <v/>
      </c>
      <c r="K269" s="37">
        <f>IF($C269="","",IFERROR(VLOOKUP($C269,'2_Control_de_Stock'!$A$11:$N$210,3,0),""))</f>
        <v/>
      </c>
    </row>
    <row r="270">
      <c r="A270" s="21" t="n"/>
      <c r="B270" s="22" t="n"/>
      <c r="C270" s="22" t="n"/>
      <c r="D270" s="35">
        <f>IF($C270="","",IFERROR(VLOOKUP($C270,'2_Control_de_Stock'!$A$11:$N$210,2,0),"⚠️ SKU no existe"))</f>
        <v/>
      </c>
      <c r="E270" s="24" t="n"/>
      <c r="F270" s="33">
        <f>IF($C270="","",IFERROR(VLOOKUP($C270,'2_Control_de_Stock'!$A$11:$N$210,11,0),0))</f>
        <v/>
      </c>
      <c r="G270" s="26">
        <f>IF(OR($C270="",$E270=""),"",$E270*$F270)</f>
        <v/>
      </c>
      <c r="H270" s="22" t="n"/>
      <c r="I270" s="33">
        <f>IF($C270="","",IFERROR($E270*VLOOKUP($C270,'2_Control_de_Stock'!$A$11:$N$210,10,0),0))</f>
        <v/>
      </c>
      <c r="J270" s="36">
        <f>IF($G270="","",$G270-$I270)</f>
        <v/>
      </c>
      <c r="K270" s="37">
        <f>IF($C270="","",IFERROR(VLOOKUP($C270,'2_Control_de_Stock'!$A$11:$N$210,3,0),""))</f>
        <v/>
      </c>
    </row>
    <row r="271">
      <c r="A271" s="21" t="n"/>
      <c r="B271" s="22" t="n"/>
      <c r="C271" s="22" t="n"/>
      <c r="D271" s="35">
        <f>IF($C271="","",IFERROR(VLOOKUP($C271,'2_Control_de_Stock'!$A$11:$N$210,2,0),"⚠️ SKU no existe"))</f>
        <v/>
      </c>
      <c r="E271" s="24" t="n"/>
      <c r="F271" s="33">
        <f>IF($C271="","",IFERROR(VLOOKUP($C271,'2_Control_de_Stock'!$A$11:$N$210,11,0),0))</f>
        <v/>
      </c>
      <c r="G271" s="26">
        <f>IF(OR($C271="",$E271=""),"",$E271*$F271)</f>
        <v/>
      </c>
      <c r="H271" s="22" t="n"/>
      <c r="I271" s="33">
        <f>IF($C271="","",IFERROR($E271*VLOOKUP($C271,'2_Control_de_Stock'!$A$11:$N$210,10,0),0))</f>
        <v/>
      </c>
      <c r="J271" s="36">
        <f>IF($G271="","",$G271-$I271)</f>
        <v/>
      </c>
      <c r="K271" s="37">
        <f>IF($C271="","",IFERROR(VLOOKUP($C271,'2_Control_de_Stock'!$A$11:$N$210,3,0),""))</f>
        <v/>
      </c>
    </row>
    <row r="272">
      <c r="A272" s="21" t="n"/>
      <c r="B272" s="22" t="n"/>
      <c r="C272" s="22" t="n"/>
      <c r="D272" s="35">
        <f>IF($C272="","",IFERROR(VLOOKUP($C272,'2_Control_de_Stock'!$A$11:$N$210,2,0),"⚠️ SKU no existe"))</f>
        <v/>
      </c>
      <c r="E272" s="24" t="n"/>
      <c r="F272" s="33">
        <f>IF($C272="","",IFERROR(VLOOKUP($C272,'2_Control_de_Stock'!$A$11:$N$210,11,0),0))</f>
        <v/>
      </c>
      <c r="G272" s="26">
        <f>IF(OR($C272="",$E272=""),"",$E272*$F272)</f>
        <v/>
      </c>
      <c r="H272" s="22" t="n"/>
      <c r="I272" s="33">
        <f>IF($C272="","",IFERROR($E272*VLOOKUP($C272,'2_Control_de_Stock'!$A$11:$N$210,10,0),0))</f>
        <v/>
      </c>
      <c r="J272" s="36">
        <f>IF($G272="","",$G272-$I272)</f>
        <v/>
      </c>
      <c r="K272" s="37">
        <f>IF($C272="","",IFERROR(VLOOKUP($C272,'2_Control_de_Stock'!$A$11:$N$210,3,0),""))</f>
        <v/>
      </c>
    </row>
    <row r="273">
      <c r="A273" s="21" t="n"/>
      <c r="B273" s="22" t="n"/>
      <c r="C273" s="22" t="n"/>
      <c r="D273" s="35">
        <f>IF($C273="","",IFERROR(VLOOKUP($C273,'2_Control_de_Stock'!$A$11:$N$210,2,0),"⚠️ SKU no existe"))</f>
        <v/>
      </c>
      <c r="E273" s="24" t="n"/>
      <c r="F273" s="33">
        <f>IF($C273="","",IFERROR(VLOOKUP($C273,'2_Control_de_Stock'!$A$11:$N$210,11,0),0))</f>
        <v/>
      </c>
      <c r="G273" s="26">
        <f>IF(OR($C273="",$E273=""),"",$E273*$F273)</f>
        <v/>
      </c>
      <c r="H273" s="22" t="n"/>
      <c r="I273" s="33">
        <f>IF($C273="","",IFERROR($E273*VLOOKUP($C273,'2_Control_de_Stock'!$A$11:$N$210,10,0),0))</f>
        <v/>
      </c>
      <c r="J273" s="36">
        <f>IF($G273="","",$G273-$I273)</f>
        <v/>
      </c>
      <c r="K273" s="37">
        <f>IF($C273="","",IFERROR(VLOOKUP($C273,'2_Control_de_Stock'!$A$11:$N$210,3,0),""))</f>
        <v/>
      </c>
    </row>
    <row r="274">
      <c r="A274" s="21" t="n"/>
      <c r="B274" s="22" t="n"/>
      <c r="C274" s="22" t="n"/>
      <c r="D274" s="35">
        <f>IF($C274="","",IFERROR(VLOOKUP($C274,'2_Control_de_Stock'!$A$11:$N$210,2,0),"⚠️ SKU no existe"))</f>
        <v/>
      </c>
      <c r="E274" s="24" t="n"/>
      <c r="F274" s="33">
        <f>IF($C274="","",IFERROR(VLOOKUP($C274,'2_Control_de_Stock'!$A$11:$N$210,11,0),0))</f>
        <v/>
      </c>
      <c r="G274" s="26">
        <f>IF(OR($C274="",$E274=""),"",$E274*$F274)</f>
        <v/>
      </c>
      <c r="H274" s="22" t="n"/>
      <c r="I274" s="33">
        <f>IF($C274="","",IFERROR($E274*VLOOKUP($C274,'2_Control_de_Stock'!$A$11:$N$210,10,0),0))</f>
        <v/>
      </c>
      <c r="J274" s="36">
        <f>IF($G274="","",$G274-$I274)</f>
        <v/>
      </c>
      <c r="K274" s="37">
        <f>IF($C274="","",IFERROR(VLOOKUP($C274,'2_Control_de_Stock'!$A$11:$N$210,3,0),""))</f>
        <v/>
      </c>
    </row>
    <row r="275">
      <c r="A275" s="21" t="n"/>
      <c r="B275" s="22" t="n"/>
      <c r="C275" s="22" t="n"/>
      <c r="D275" s="35">
        <f>IF($C275="","",IFERROR(VLOOKUP($C275,'2_Control_de_Stock'!$A$11:$N$210,2,0),"⚠️ SKU no existe"))</f>
        <v/>
      </c>
      <c r="E275" s="24" t="n"/>
      <c r="F275" s="33">
        <f>IF($C275="","",IFERROR(VLOOKUP($C275,'2_Control_de_Stock'!$A$11:$N$210,11,0),0))</f>
        <v/>
      </c>
      <c r="G275" s="26">
        <f>IF(OR($C275="",$E275=""),"",$E275*$F275)</f>
        <v/>
      </c>
      <c r="H275" s="22" t="n"/>
      <c r="I275" s="33">
        <f>IF($C275="","",IFERROR($E275*VLOOKUP($C275,'2_Control_de_Stock'!$A$11:$N$210,10,0),0))</f>
        <v/>
      </c>
      <c r="J275" s="36">
        <f>IF($G275="","",$G275-$I275)</f>
        <v/>
      </c>
      <c r="K275" s="37">
        <f>IF($C275="","",IFERROR(VLOOKUP($C275,'2_Control_de_Stock'!$A$11:$N$210,3,0),""))</f>
        <v/>
      </c>
    </row>
    <row r="276">
      <c r="A276" s="21" t="n"/>
      <c r="B276" s="22" t="n"/>
      <c r="C276" s="22" t="n"/>
      <c r="D276" s="35">
        <f>IF($C276="","",IFERROR(VLOOKUP($C276,'2_Control_de_Stock'!$A$11:$N$210,2,0),"⚠️ SKU no existe"))</f>
        <v/>
      </c>
      <c r="E276" s="24" t="n"/>
      <c r="F276" s="33">
        <f>IF($C276="","",IFERROR(VLOOKUP($C276,'2_Control_de_Stock'!$A$11:$N$210,11,0),0))</f>
        <v/>
      </c>
      <c r="G276" s="26">
        <f>IF(OR($C276="",$E276=""),"",$E276*$F276)</f>
        <v/>
      </c>
      <c r="H276" s="22" t="n"/>
      <c r="I276" s="33">
        <f>IF($C276="","",IFERROR($E276*VLOOKUP($C276,'2_Control_de_Stock'!$A$11:$N$210,10,0),0))</f>
        <v/>
      </c>
      <c r="J276" s="36">
        <f>IF($G276="","",$G276-$I276)</f>
        <v/>
      </c>
      <c r="K276" s="37">
        <f>IF($C276="","",IFERROR(VLOOKUP($C276,'2_Control_de_Stock'!$A$11:$N$210,3,0),""))</f>
        <v/>
      </c>
    </row>
    <row r="277">
      <c r="A277" s="21" t="n"/>
      <c r="B277" s="22" t="n"/>
      <c r="C277" s="22" t="n"/>
      <c r="D277" s="35">
        <f>IF($C277="","",IFERROR(VLOOKUP($C277,'2_Control_de_Stock'!$A$11:$N$210,2,0),"⚠️ SKU no existe"))</f>
        <v/>
      </c>
      <c r="E277" s="24" t="n"/>
      <c r="F277" s="33">
        <f>IF($C277="","",IFERROR(VLOOKUP($C277,'2_Control_de_Stock'!$A$11:$N$210,11,0),0))</f>
        <v/>
      </c>
      <c r="G277" s="26">
        <f>IF(OR($C277="",$E277=""),"",$E277*$F277)</f>
        <v/>
      </c>
      <c r="H277" s="22" t="n"/>
      <c r="I277" s="33">
        <f>IF($C277="","",IFERROR($E277*VLOOKUP($C277,'2_Control_de_Stock'!$A$11:$N$210,10,0),0))</f>
        <v/>
      </c>
      <c r="J277" s="36">
        <f>IF($G277="","",$G277-$I277)</f>
        <v/>
      </c>
      <c r="K277" s="37">
        <f>IF($C277="","",IFERROR(VLOOKUP($C277,'2_Control_de_Stock'!$A$11:$N$210,3,0),""))</f>
        <v/>
      </c>
    </row>
    <row r="278">
      <c r="A278" s="21" t="n"/>
      <c r="B278" s="22" t="n"/>
      <c r="C278" s="22" t="n"/>
      <c r="D278" s="35">
        <f>IF($C278="","",IFERROR(VLOOKUP($C278,'2_Control_de_Stock'!$A$11:$N$210,2,0),"⚠️ SKU no existe"))</f>
        <v/>
      </c>
      <c r="E278" s="24" t="n"/>
      <c r="F278" s="33">
        <f>IF($C278="","",IFERROR(VLOOKUP($C278,'2_Control_de_Stock'!$A$11:$N$210,11,0),0))</f>
        <v/>
      </c>
      <c r="G278" s="26">
        <f>IF(OR($C278="",$E278=""),"",$E278*$F278)</f>
        <v/>
      </c>
      <c r="H278" s="22" t="n"/>
      <c r="I278" s="33">
        <f>IF($C278="","",IFERROR($E278*VLOOKUP($C278,'2_Control_de_Stock'!$A$11:$N$210,10,0),0))</f>
        <v/>
      </c>
      <c r="J278" s="36">
        <f>IF($G278="","",$G278-$I278)</f>
        <v/>
      </c>
      <c r="K278" s="37">
        <f>IF($C278="","",IFERROR(VLOOKUP($C278,'2_Control_de_Stock'!$A$11:$N$210,3,0),""))</f>
        <v/>
      </c>
    </row>
    <row r="279">
      <c r="A279" s="21" t="n"/>
      <c r="B279" s="22" t="n"/>
      <c r="C279" s="22" t="n"/>
      <c r="D279" s="35">
        <f>IF($C279="","",IFERROR(VLOOKUP($C279,'2_Control_de_Stock'!$A$11:$N$210,2,0),"⚠️ SKU no existe"))</f>
        <v/>
      </c>
      <c r="E279" s="24" t="n"/>
      <c r="F279" s="33">
        <f>IF($C279="","",IFERROR(VLOOKUP($C279,'2_Control_de_Stock'!$A$11:$N$210,11,0),0))</f>
        <v/>
      </c>
      <c r="G279" s="26">
        <f>IF(OR($C279="",$E279=""),"",$E279*$F279)</f>
        <v/>
      </c>
      <c r="H279" s="22" t="n"/>
      <c r="I279" s="33">
        <f>IF($C279="","",IFERROR($E279*VLOOKUP($C279,'2_Control_de_Stock'!$A$11:$N$210,10,0),0))</f>
        <v/>
      </c>
      <c r="J279" s="36">
        <f>IF($G279="","",$G279-$I279)</f>
        <v/>
      </c>
      <c r="K279" s="37">
        <f>IF($C279="","",IFERROR(VLOOKUP($C279,'2_Control_de_Stock'!$A$11:$N$210,3,0),""))</f>
        <v/>
      </c>
    </row>
    <row r="280">
      <c r="A280" s="21" t="n"/>
      <c r="B280" s="22" t="n"/>
      <c r="C280" s="22" t="n"/>
      <c r="D280" s="35">
        <f>IF($C280="","",IFERROR(VLOOKUP($C280,'2_Control_de_Stock'!$A$11:$N$210,2,0),"⚠️ SKU no existe"))</f>
        <v/>
      </c>
      <c r="E280" s="24" t="n"/>
      <c r="F280" s="33">
        <f>IF($C280="","",IFERROR(VLOOKUP($C280,'2_Control_de_Stock'!$A$11:$N$210,11,0),0))</f>
        <v/>
      </c>
      <c r="G280" s="26">
        <f>IF(OR($C280="",$E280=""),"",$E280*$F280)</f>
        <v/>
      </c>
      <c r="H280" s="22" t="n"/>
      <c r="I280" s="33">
        <f>IF($C280="","",IFERROR($E280*VLOOKUP($C280,'2_Control_de_Stock'!$A$11:$N$210,10,0),0))</f>
        <v/>
      </c>
      <c r="J280" s="36">
        <f>IF($G280="","",$G280-$I280)</f>
        <v/>
      </c>
      <c r="K280" s="37">
        <f>IF($C280="","",IFERROR(VLOOKUP($C280,'2_Control_de_Stock'!$A$11:$N$210,3,0),""))</f>
        <v/>
      </c>
    </row>
    <row r="281">
      <c r="A281" s="21" t="n"/>
      <c r="B281" s="22" t="n"/>
      <c r="C281" s="22" t="n"/>
      <c r="D281" s="35">
        <f>IF($C281="","",IFERROR(VLOOKUP($C281,'2_Control_de_Stock'!$A$11:$N$210,2,0),"⚠️ SKU no existe"))</f>
        <v/>
      </c>
      <c r="E281" s="24" t="n"/>
      <c r="F281" s="33">
        <f>IF($C281="","",IFERROR(VLOOKUP($C281,'2_Control_de_Stock'!$A$11:$N$210,11,0),0))</f>
        <v/>
      </c>
      <c r="G281" s="26">
        <f>IF(OR($C281="",$E281=""),"",$E281*$F281)</f>
        <v/>
      </c>
      <c r="H281" s="22" t="n"/>
      <c r="I281" s="33">
        <f>IF($C281="","",IFERROR($E281*VLOOKUP($C281,'2_Control_de_Stock'!$A$11:$N$210,10,0),0))</f>
        <v/>
      </c>
      <c r="J281" s="36">
        <f>IF($G281="","",$G281-$I281)</f>
        <v/>
      </c>
      <c r="K281" s="37">
        <f>IF($C281="","",IFERROR(VLOOKUP($C281,'2_Control_de_Stock'!$A$11:$N$210,3,0),""))</f>
        <v/>
      </c>
    </row>
    <row r="282">
      <c r="A282" s="21" t="n"/>
      <c r="B282" s="22" t="n"/>
      <c r="C282" s="22" t="n"/>
      <c r="D282" s="35">
        <f>IF($C282="","",IFERROR(VLOOKUP($C282,'2_Control_de_Stock'!$A$11:$N$210,2,0),"⚠️ SKU no existe"))</f>
        <v/>
      </c>
      <c r="E282" s="24" t="n"/>
      <c r="F282" s="33">
        <f>IF($C282="","",IFERROR(VLOOKUP($C282,'2_Control_de_Stock'!$A$11:$N$210,11,0),0))</f>
        <v/>
      </c>
      <c r="G282" s="26">
        <f>IF(OR($C282="",$E282=""),"",$E282*$F282)</f>
        <v/>
      </c>
      <c r="H282" s="22" t="n"/>
      <c r="I282" s="33">
        <f>IF($C282="","",IFERROR($E282*VLOOKUP($C282,'2_Control_de_Stock'!$A$11:$N$210,10,0),0))</f>
        <v/>
      </c>
      <c r="J282" s="36">
        <f>IF($G282="","",$G282-$I282)</f>
        <v/>
      </c>
      <c r="K282" s="37">
        <f>IF($C282="","",IFERROR(VLOOKUP($C282,'2_Control_de_Stock'!$A$11:$N$210,3,0),""))</f>
        <v/>
      </c>
    </row>
    <row r="283">
      <c r="A283" s="21" t="n"/>
      <c r="B283" s="22" t="n"/>
      <c r="C283" s="22" t="n"/>
      <c r="D283" s="35">
        <f>IF($C283="","",IFERROR(VLOOKUP($C283,'2_Control_de_Stock'!$A$11:$N$210,2,0),"⚠️ SKU no existe"))</f>
        <v/>
      </c>
      <c r="E283" s="24" t="n"/>
      <c r="F283" s="33">
        <f>IF($C283="","",IFERROR(VLOOKUP($C283,'2_Control_de_Stock'!$A$11:$N$210,11,0),0))</f>
        <v/>
      </c>
      <c r="G283" s="26">
        <f>IF(OR($C283="",$E283=""),"",$E283*$F283)</f>
        <v/>
      </c>
      <c r="H283" s="22" t="n"/>
      <c r="I283" s="33">
        <f>IF($C283="","",IFERROR($E283*VLOOKUP($C283,'2_Control_de_Stock'!$A$11:$N$210,10,0),0))</f>
        <v/>
      </c>
      <c r="J283" s="36">
        <f>IF($G283="","",$G283-$I283)</f>
        <v/>
      </c>
      <c r="K283" s="37">
        <f>IF($C283="","",IFERROR(VLOOKUP($C283,'2_Control_de_Stock'!$A$11:$N$210,3,0),""))</f>
        <v/>
      </c>
    </row>
    <row r="284">
      <c r="A284" s="21" t="n"/>
      <c r="B284" s="22" t="n"/>
      <c r="C284" s="22" t="n"/>
      <c r="D284" s="35">
        <f>IF($C284="","",IFERROR(VLOOKUP($C284,'2_Control_de_Stock'!$A$11:$N$210,2,0),"⚠️ SKU no existe"))</f>
        <v/>
      </c>
      <c r="E284" s="24" t="n"/>
      <c r="F284" s="33">
        <f>IF($C284="","",IFERROR(VLOOKUP($C284,'2_Control_de_Stock'!$A$11:$N$210,11,0),0))</f>
        <v/>
      </c>
      <c r="G284" s="26">
        <f>IF(OR($C284="",$E284=""),"",$E284*$F284)</f>
        <v/>
      </c>
      <c r="H284" s="22" t="n"/>
      <c r="I284" s="33">
        <f>IF($C284="","",IFERROR($E284*VLOOKUP($C284,'2_Control_de_Stock'!$A$11:$N$210,10,0),0))</f>
        <v/>
      </c>
      <c r="J284" s="36">
        <f>IF($G284="","",$G284-$I284)</f>
        <v/>
      </c>
      <c r="K284" s="37">
        <f>IF($C284="","",IFERROR(VLOOKUP($C284,'2_Control_de_Stock'!$A$11:$N$210,3,0),""))</f>
        <v/>
      </c>
    </row>
    <row r="285">
      <c r="A285" s="21" t="n"/>
      <c r="B285" s="22" t="n"/>
      <c r="C285" s="22" t="n"/>
      <c r="D285" s="35">
        <f>IF($C285="","",IFERROR(VLOOKUP($C285,'2_Control_de_Stock'!$A$11:$N$210,2,0),"⚠️ SKU no existe"))</f>
        <v/>
      </c>
      <c r="E285" s="24" t="n"/>
      <c r="F285" s="33">
        <f>IF($C285="","",IFERROR(VLOOKUP($C285,'2_Control_de_Stock'!$A$11:$N$210,11,0),0))</f>
        <v/>
      </c>
      <c r="G285" s="26">
        <f>IF(OR($C285="",$E285=""),"",$E285*$F285)</f>
        <v/>
      </c>
      <c r="H285" s="22" t="n"/>
      <c r="I285" s="33">
        <f>IF($C285="","",IFERROR($E285*VLOOKUP($C285,'2_Control_de_Stock'!$A$11:$N$210,10,0),0))</f>
        <v/>
      </c>
      <c r="J285" s="36">
        <f>IF($G285="","",$G285-$I285)</f>
        <v/>
      </c>
      <c r="K285" s="37">
        <f>IF($C285="","",IFERROR(VLOOKUP($C285,'2_Control_de_Stock'!$A$11:$N$210,3,0),""))</f>
        <v/>
      </c>
    </row>
    <row r="286">
      <c r="A286" s="21" t="n"/>
      <c r="B286" s="22" t="n"/>
      <c r="C286" s="22" t="n"/>
      <c r="D286" s="35">
        <f>IF($C286="","",IFERROR(VLOOKUP($C286,'2_Control_de_Stock'!$A$11:$N$210,2,0),"⚠️ SKU no existe"))</f>
        <v/>
      </c>
      <c r="E286" s="24" t="n"/>
      <c r="F286" s="33">
        <f>IF($C286="","",IFERROR(VLOOKUP($C286,'2_Control_de_Stock'!$A$11:$N$210,11,0),0))</f>
        <v/>
      </c>
      <c r="G286" s="26">
        <f>IF(OR($C286="",$E286=""),"",$E286*$F286)</f>
        <v/>
      </c>
      <c r="H286" s="22" t="n"/>
      <c r="I286" s="33">
        <f>IF($C286="","",IFERROR($E286*VLOOKUP($C286,'2_Control_de_Stock'!$A$11:$N$210,10,0),0))</f>
        <v/>
      </c>
      <c r="J286" s="36">
        <f>IF($G286="","",$G286-$I286)</f>
        <v/>
      </c>
      <c r="K286" s="37">
        <f>IF($C286="","",IFERROR(VLOOKUP($C286,'2_Control_de_Stock'!$A$11:$N$210,3,0),""))</f>
        <v/>
      </c>
    </row>
    <row r="287">
      <c r="A287" s="21" t="n"/>
      <c r="B287" s="22" t="n"/>
      <c r="C287" s="22" t="n"/>
      <c r="D287" s="35">
        <f>IF($C287="","",IFERROR(VLOOKUP($C287,'2_Control_de_Stock'!$A$11:$N$210,2,0),"⚠️ SKU no existe"))</f>
        <v/>
      </c>
      <c r="E287" s="24" t="n"/>
      <c r="F287" s="33">
        <f>IF($C287="","",IFERROR(VLOOKUP($C287,'2_Control_de_Stock'!$A$11:$N$210,11,0),0))</f>
        <v/>
      </c>
      <c r="G287" s="26">
        <f>IF(OR($C287="",$E287=""),"",$E287*$F287)</f>
        <v/>
      </c>
      <c r="H287" s="22" t="n"/>
      <c r="I287" s="33">
        <f>IF($C287="","",IFERROR($E287*VLOOKUP($C287,'2_Control_de_Stock'!$A$11:$N$210,10,0),0))</f>
        <v/>
      </c>
      <c r="J287" s="36">
        <f>IF($G287="","",$G287-$I287)</f>
        <v/>
      </c>
      <c r="K287" s="37">
        <f>IF($C287="","",IFERROR(VLOOKUP($C287,'2_Control_de_Stock'!$A$11:$N$210,3,0),""))</f>
        <v/>
      </c>
    </row>
    <row r="288">
      <c r="A288" s="21" t="n"/>
      <c r="B288" s="22" t="n"/>
      <c r="C288" s="22" t="n"/>
      <c r="D288" s="35">
        <f>IF($C288="","",IFERROR(VLOOKUP($C288,'2_Control_de_Stock'!$A$11:$N$210,2,0),"⚠️ SKU no existe"))</f>
        <v/>
      </c>
      <c r="E288" s="24" t="n"/>
      <c r="F288" s="33">
        <f>IF($C288="","",IFERROR(VLOOKUP($C288,'2_Control_de_Stock'!$A$11:$N$210,11,0),0))</f>
        <v/>
      </c>
      <c r="G288" s="26">
        <f>IF(OR($C288="",$E288=""),"",$E288*$F288)</f>
        <v/>
      </c>
      <c r="H288" s="22" t="n"/>
      <c r="I288" s="33">
        <f>IF($C288="","",IFERROR($E288*VLOOKUP($C288,'2_Control_de_Stock'!$A$11:$N$210,10,0),0))</f>
        <v/>
      </c>
      <c r="J288" s="36">
        <f>IF($G288="","",$G288-$I288)</f>
        <v/>
      </c>
      <c r="K288" s="37">
        <f>IF($C288="","",IFERROR(VLOOKUP($C288,'2_Control_de_Stock'!$A$11:$N$210,3,0),""))</f>
        <v/>
      </c>
    </row>
    <row r="289">
      <c r="A289" s="21" t="n"/>
      <c r="B289" s="22" t="n"/>
      <c r="C289" s="22" t="n"/>
      <c r="D289" s="35">
        <f>IF($C289="","",IFERROR(VLOOKUP($C289,'2_Control_de_Stock'!$A$11:$N$210,2,0),"⚠️ SKU no existe"))</f>
        <v/>
      </c>
      <c r="E289" s="24" t="n"/>
      <c r="F289" s="33">
        <f>IF($C289="","",IFERROR(VLOOKUP($C289,'2_Control_de_Stock'!$A$11:$N$210,11,0),0))</f>
        <v/>
      </c>
      <c r="G289" s="26">
        <f>IF(OR($C289="",$E289=""),"",$E289*$F289)</f>
        <v/>
      </c>
      <c r="H289" s="22" t="n"/>
      <c r="I289" s="33">
        <f>IF($C289="","",IFERROR($E289*VLOOKUP($C289,'2_Control_de_Stock'!$A$11:$N$210,10,0),0))</f>
        <v/>
      </c>
      <c r="J289" s="36">
        <f>IF($G289="","",$G289-$I289)</f>
        <v/>
      </c>
      <c r="K289" s="37">
        <f>IF($C289="","",IFERROR(VLOOKUP($C289,'2_Control_de_Stock'!$A$11:$N$210,3,0),""))</f>
        <v/>
      </c>
    </row>
    <row r="290">
      <c r="A290" s="21" t="n"/>
      <c r="B290" s="22" t="n"/>
      <c r="C290" s="22" t="n"/>
      <c r="D290" s="35">
        <f>IF($C290="","",IFERROR(VLOOKUP($C290,'2_Control_de_Stock'!$A$11:$N$210,2,0),"⚠️ SKU no existe"))</f>
        <v/>
      </c>
      <c r="E290" s="24" t="n"/>
      <c r="F290" s="33">
        <f>IF($C290="","",IFERROR(VLOOKUP($C290,'2_Control_de_Stock'!$A$11:$N$210,11,0),0))</f>
        <v/>
      </c>
      <c r="G290" s="26">
        <f>IF(OR($C290="",$E290=""),"",$E290*$F290)</f>
        <v/>
      </c>
      <c r="H290" s="22" t="n"/>
      <c r="I290" s="33">
        <f>IF($C290="","",IFERROR($E290*VLOOKUP($C290,'2_Control_de_Stock'!$A$11:$N$210,10,0),0))</f>
        <v/>
      </c>
      <c r="J290" s="36">
        <f>IF($G290="","",$G290-$I290)</f>
        <v/>
      </c>
      <c r="K290" s="37">
        <f>IF($C290="","",IFERROR(VLOOKUP($C290,'2_Control_de_Stock'!$A$11:$N$210,3,0),""))</f>
        <v/>
      </c>
    </row>
    <row r="291">
      <c r="A291" s="21" t="n"/>
      <c r="B291" s="22" t="n"/>
      <c r="C291" s="22" t="n"/>
      <c r="D291" s="35">
        <f>IF($C291="","",IFERROR(VLOOKUP($C291,'2_Control_de_Stock'!$A$11:$N$210,2,0),"⚠️ SKU no existe"))</f>
        <v/>
      </c>
      <c r="E291" s="24" t="n"/>
      <c r="F291" s="33">
        <f>IF($C291="","",IFERROR(VLOOKUP($C291,'2_Control_de_Stock'!$A$11:$N$210,11,0),0))</f>
        <v/>
      </c>
      <c r="G291" s="26">
        <f>IF(OR($C291="",$E291=""),"",$E291*$F291)</f>
        <v/>
      </c>
      <c r="H291" s="22" t="n"/>
      <c r="I291" s="33">
        <f>IF($C291="","",IFERROR($E291*VLOOKUP($C291,'2_Control_de_Stock'!$A$11:$N$210,10,0),0))</f>
        <v/>
      </c>
      <c r="J291" s="36">
        <f>IF($G291="","",$G291-$I291)</f>
        <v/>
      </c>
      <c r="K291" s="37">
        <f>IF($C291="","",IFERROR(VLOOKUP($C291,'2_Control_de_Stock'!$A$11:$N$210,3,0),""))</f>
        <v/>
      </c>
    </row>
    <row r="292">
      <c r="A292" s="21" t="n"/>
      <c r="B292" s="22" t="n"/>
      <c r="C292" s="22" t="n"/>
      <c r="D292" s="35">
        <f>IF($C292="","",IFERROR(VLOOKUP($C292,'2_Control_de_Stock'!$A$11:$N$210,2,0),"⚠️ SKU no existe"))</f>
        <v/>
      </c>
      <c r="E292" s="24" t="n"/>
      <c r="F292" s="33">
        <f>IF($C292="","",IFERROR(VLOOKUP($C292,'2_Control_de_Stock'!$A$11:$N$210,11,0),0))</f>
        <v/>
      </c>
      <c r="G292" s="26">
        <f>IF(OR($C292="",$E292=""),"",$E292*$F292)</f>
        <v/>
      </c>
      <c r="H292" s="22" t="n"/>
      <c r="I292" s="33">
        <f>IF($C292="","",IFERROR($E292*VLOOKUP($C292,'2_Control_de_Stock'!$A$11:$N$210,10,0),0))</f>
        <v/>
      </c>
      <c r="J292" s="36">
        <f>IF($G292="","",$G292-$I292)</f>
        <v/>
      </c>
      <c r="K292" s="37">
        <f>IF($C292="","",IFERROR(VLOOKUP($C292,'2_Control_de_Stock'!$A$11:$N$210,3,0),""))</f>
        <v/>
      </c>
    </row>
    <row r="293">
      <c r="A293" s="21" t="n"/>
      <c r="B293" s="22" t="n"/>
      <c r="C293" s="22" t="n"/>
      <c r="D293" s="35">
        <f>IF($C293="","",IFERROR(VLOOKUP($C293,'2_Control_de_Stock'!$A$11:$N$210,2,0),"⚠️ SKU no existe"))</f>
        <v/>
      </c>
      <c r="E293" s="24" t="n"/>
      <c r="F293" s="33">
        <f>IF($C293="","",IFERROR(VLOOKUP($C293,'2_Control_de_Stock'!$A$11:$N$210,11,0),0))</f>
        <v/>
      </c>
      <c r="G293" s="26">
        <f>IF(OR($C293="",$E293=""),"",$E293*$F293)</f>
        <v/>
      </c>
      <c r="H293" s="22" t="n"/>
      <c r="I293" s="33">
        <f>IF($C293="","",IFERROR($E293*VLOOKUP($C293,'2_Control_de_Stock'!$A$11:$N$210,10,0),0))</f>
        <v/>
      </c>
      <c r="J293" s="36">
        <f>IF($G293="","",$G293-$I293)</f>
        <v/>
      </c>
      <c r="K293" s="37">
        <f>IF($C293="","",IFERROR(VLOOKUP($C293,'2_Control_de_Stock'!$A$11:$N$210,3,0),""))</f>
        <v/>
      </c>
    </row>
    <row r="294">
      <c r="A294" s="21" t="n"/>
      <c r="B294" s="22" t="n"/>
      <c r="C294" s="22" t="n"/>
      <c r="D294" s="35">
        <f>IF($C294="","",IFERROR(VLOOKUP($C294,'2_Control_de_Stock'!$A$11:$N$210,2,0),"⚠️ SKU no existe"))</f>
        <v/>
      </c>
      <c r="E294" s="24" t="n"/>
      <c r="F294" s="33">
        <f>IF($C294="","",IFERROR(VLOOKUP($C294,'2_Control_de_Stock'!$A$11:$N$210,11,0),0))</f>
        <v/>
      </c>
      <c r="G294" s="26">
        <f>IF(OR($C294="",$E294=""),"",$E294*$F294)</f>
        <v/>
      </c>
      <c r="H294" s="22" t="n"/>
      <c r="I294" s="33">
        <f>IF($C294="","",IFERROR($E294*VLOOKUP($C294,'2_Control_de_Stock'!$A$11:$N$210,10,0),0))</f>
        <v/>
      </c>
      <c r="J294" s="36">
        <f>IF($G294="","",$G294-$I294)</f>
        <v/>
      </c>
      <c r="K294" s="37">
        <f>IF($C294="","",IFERROR(VLOOKUP($C294,'2_Control_de_Stock'!$A$11:$N$210,3,0),""))</f>
        <v/>
      </c>
    </row>
    <row r="295">
      <c r="A295" s="21" t="n"/>
      <c r="B295" s="22" t="n"/>
      <c r="C295" s="22" t="n"/>
      <c r="D295" s="35">
        <f>IF($C295="","",IFERROR(VLOOKUP($C295,'2_Control_de_Stock'!$A$11:$N$210,2,0),"⚠️ SKU no existe"))</f>
        <v/>
      </c>
      <c r="E295" s="24" t="n"/>
      <c r="F295" s="33">
        <f>IF($C295="","",IFERROR(VLOOKUP($C295,'2_Control_de_Stock'!$A$11:$N$210,11,0),0))</f>
        <v/>
      </c>
      <c r="G295" s="26">
        <f>IF(OR($C295="",$E295=""),"",$E295*$F295)</f>
        <v/>
      </c>
      <c r="H295" s="22" t="n"/>
      <c r="I295" s="33">
        <f>IF($C295="","",IFERROR($E295*VLOOKUP($C295,'2_Control_de_Stock'!$A$11:$N$210,10,0),0))</f>
        <v/>
      </c>
      <c r="J295" s="36">
        <f>IF($G295="","",$G295-$I295)</f>
        <v/>
      </c>
      <c r="K295" s="37">
        <f>IF($C295="","",IFERROR(VLOOKUP($C295,'2_Control_de_Stock'!$A$11:$N$210,3,0),""))</f>
        <v/>
      </c>
    </row>
    <row r="296">
      <c r="A296" s="21" t="n"/>
      <c r="B296" s="22" t="n"/>
      <c r="C296" s="22" t="n"/>
      <c r="D296" s="35">
        <f>IF($C296="","",IFERROR(VLOOKUP($C296,'2_Control_de_Stock'!$A$11:$N$210,2,0),"⚠️ SKU no existe"))</f>
        <v/>
      </c>
      <c r="E296" s="24" t="n"/>
      <c r="F296" s="33">
        <f>IF($C296="","",IFERROR(VLOOKUP($C296,'2_Control_de_Stock'!$A$11:$N$210,11,0),0))</f>
        <v/>
      </c>
      <c r="G296" s="26">
        <f>IF(OR($C296="",$E296=""),"",$E296*$F296)</f>
        <v/>
      </c>
      <c r="H296" s="22" t="n"/>
      <c r="I296" s="33">
        <f>IF($C296="","",IFERROR($E296*VLOOKUP($C296,'2_Control_de_Stock'!$A$11:$N$210,10,0),0))</f>
        <v/>
      </c>
      <c r="J296" s="36">
        <f>IF($G296="","",$G296-$I296)</f>
        <v/>
      </c>
      <c r="K296" s="37">
        <f>IF($C296="","",IFERROR(VLOOKUP($C296,'2_Control_de_Stock'!$A$11:$N$210,3,0),""))</f>
        <v/>
      </c>
    </row>
    <row r="297">
      <c r="A297" s="21" t="n"/>
      <c r="B297" s="22" t="n"/>
      <c r="C297" s="22" t="n"/>
      <c r="D297" s="35">
        <f>IF($C297="","",IFERROR(VLOOKUP($C297,'2_Control_de_Stock'!$A$11:$N$210,2,0),"⚠️ SKU no existe"))</f>
        <v/>
      </c>
      <c r="E297" s="24" t="n"/>
      <c r="F297" s="33">
        <f>IF($C297="","",IFERROR(VLOOKUP($C297,'2_Control_de_Stock'!$A$11:$N$210,11,0),0))</f>
        <v/>
      </c>
      <c r="G297" s="26">
        <f>IF(OR($C297="",$E297=""),"",$E297*$F297)</f>
        <v/>
      </c>
      <c r="H297" s="22" t="n"/>
      <c r="I297" s="33">
        <f>IF($C297="","",IFERROR($E297*VLOOKUP($C297,'2_Control_de_Stock'!$A$11:$N$210,10,0),0))</f>
        <v/>
      </c>
      <c r="J297" s="36">
        <f>IF($G297="","",$G297-$I297)</f>
        <v/>
      </c>
      <c r="K297" s="37">
        <f>IF($C297="","",IFERROR(VLOOKUP($C297,'2_Control_de_Stock'!$A$11:$N$210,3,0),""))</f>
        <v/>
      </c>
    </row>
    <row r="298">
      <c r="A298" s="21" t="n"/>
      <c r="B298" s="22" t="n"/>
      <c r="C298" s="22" t="n"/>
      <c r="D298" s="35">
        <f>IF($C298="","",IFERROR(VLOOKUP($C298,'2_Control_de_Stock'!$A$11:$N$210,2,0),"⚠️ SKU no existe"))</f>
        <v/>
      </c>
      <c r="E298" s="24" t="n"/>
      <c r="F298" s="33">
        <f>IF($C298="","",IFERROR(VLOOKUP($C298,'2_Control_de_Stock'!$A$11:$N$210,11,0),0))</f>
        <v/>
      </c>
      <c r="G298" s="26">
        <f>IF(OR($C298="",$E298=""),"",$E298*$F298)</f>
        <v/>
      </c>
      <c r="H298" s="22" t="n"/>
      <c r="I298" s="33">
        <f>IF($C298="","",IFERROR($E298*VLOOKUP($C298,'2_Control_de_Stock'!$A$11:$N$210,10,0),0))</f>
        <v/>
      </c>
      <c r="J298" s="36">
        <f>IF($G298="","",$G298-$I298)</f>
        <v/>
      </c>
      <c r="K298" s="37">
        <f>IF($C298="","",IFERROR(VLOOKUP($C298,'2_Control_de_Stock'!$A$11:$N$210,3,0),""))</f>
        <v/>
      </c>
    </row>
    <row r="299">
      <c r="A299" s="21" t="n"/>
      <c r="B299" s="22" t="n"/>
      <c r="C299" s="22" t="n"/>
      <c r="D299" s="35">
        <f>IF($C299="","",IFERROR(VLOOKUP($C299,'2_Control_de_Stock'!$A$11:$N$210,2,0),"⚠️ SKU no existe"))</f>
        <v/>
      </c>
      <c r="E299" s="24" t="n"/>
      <c r="F299" s="33">
        <f>IF($C299="","",IFERROR(VLOOKUP($C299,'2_Control_de_Stock'!$A$11:$N$210,11,0),0))</f>
        <v/>
      </c>
      <c r="G299" s="26">
        <f>IF(OR($C299="",$E299=""),"",$E299*$F299)</f>
        <v/>
      </c>
      <c r="H299" s="22" t="n"/>
      <c r="I299" s="33">
        <f>IF($C299="","",IFERROR($E299*VLOOKUP($C299,'2_Control_de_Stock'!$A$11:$N$210,10,0),0))</f>
        <v/>
      </c>
      <c r="J299" s="36">
        <f>IF($G299="","",$G299-$I299)</f>
        <v/>
      </c>
      <c r="K299" s="37">
        <f>IF($C299="","",IFERROR(VLOOKUP($C299,'2_Control_de_Stock'!$A$11:$N$210,3,0),""))</f>
        <v/>
      </c>
    </row>
    <row r="300">
      <c r="A300" s="21" t="n"/>
      <c r="B300" s="22" t="n"/>
      <c r="C300" s="22" t="n"/>
      <c r="D300" s="35">
        <f>IF($C300="","",IFERROR(VLOOKUP($C300,'2_Control_de_Stock'!$A$11:$N$210,2,0),"⚠️ SKU no existe"))</f>
        <v/>
      </c>
      <c r="E300" s="24" t="n"/>
      <c r="F300" s="33">
        <f>IF($C300="","",IFERROR(VLOOKUP($C300,'2_Control_de_Stock'!$A$11:$N$210,11,0),0))</f>
        <v/>
      </c>
      <c r="G300" s="26">
        <f>IF(OR($C300="",$E300=""),"",$E300*$F300)</f>
        <v/>
      </c>
      <c r="H300" s="22" t="n"/>
      <c r="I300" s="33">
        <f>IF($C300="","",IFERROR($E300*VLOOKUP($C300,'2_Control_de_Stock'!$A$11:$N$210,10,0),0))</f>
        <v/>
      </c>
      <c r="J300" s="36">
        <f>IF($G300="","",$G300-$I300)</f>
        <v/>
      </c>
      <c r="K300" s="37">
        <f>IF($C300="","",IFERROR(VLOOKUP($C300,'2_Control_de_Stock'!$A$11:$N$210,3,0),""))</f>
        <v/>
      </c>
    </row>
    <row r="301">
      <c r="A301" s="21" t="n"/>
      <c r="B301" s="22" t="n"/>
      <c r="C301" s="22" t="n"/>
      <c r="D301" s="35">
        <f>IF($C301="","",IFERROR(VLOOKUP($C301,'2_Control_de_Stock'!$A$11:$N$210,2,0),"⚠️ SKU no existe"))</f>
        <v/>
      </c>
      <c r="E301" s="24" t="n"/>
      <c r="F301" s="33">
        <f>IF($C301="","",IFERROR(VLOOKUP($C301,'2_Control_de_Stock'!$A$11:$N$210,11,0),0))</f>
        <v/>
      </c>
      <c r="G301" s="26">
        <f>IF(OR($C301="",$E301=""),"",$E301*$F301)</f>
        <v/>
      </c>
      <c r="H301" s="22" t="n"/>
      <c r="I301" s="33">
        <f>IF($C301="","",IFERROR($E301*VLOOKUP($C301,'2_Control_de_Stock'!$A$11:$N$210,10,0),0))</f>
        <v/>
      </c>
      <c r="J301" s="36">
        <f>IF($G301="","",$G301-$I301)</f>
        <v/>
      </c>
      <c r="K301" s="37">
        <f>IF($C301="","",IFERROR(VLOOKUP($C301,'2_Control_de_Stock'!$A$11:$N$210,3,0),""))</f>
        <v/>
      </c>
    </row>
    <row r="302">
      <c r="A302" s="21" t="n"/>
      <c r="B302" s="22" t="n"/>
      <c r="C302" s="22" t="n"/>
      <c r="D302" s="35">
        <f>IF($C302="","",IFERROR(VLOOKUP($C302,'2_Control_de_Stock'!$A$11:$N$210,2,0),"⚠️ SKU no existe"))</f>
        <v/>
      </c>
      <c r="E302" s="24" t="n"/>
      <c r="F302" s="33">
        <f>IF($C302="","",IFERROR(VLOOKUP($C302,'2_Control_de_Stock'!$A$11:$N$210,11,0),0))</f>
        <v/>
      </c>
      <c r="G302" s="26">
        <f>IF(OR($C302="",$E302=""),"",$E302*$F302)</f>
        <v/>
      </c>
      <c r="H302" s="22" t="n"/>
      <c r="I302" s="33">
        <f>IF($C302="","",IFERROR($E302*VLOOKUP($C302,'2_Control_de_Stock'!$A$11:$N$210,10,0),0))</f>
        <v/>
      </c>
      <c r="J302" s="36">
        <f>IF($G302="","",$G302-$I302)</f>
        <v/>
      </c>
      <c r="K302" s="37">
        <f>IF($C302="","",IFERROR(VLOOKUP($C302,'2_Control_de_Stock'!$A$11:$N$210,3,0),""))</f>
        <v/>
      </c>
    </row>
    <row r="303">
      <c r="A303" s="21" t="n"/>
      <c r="B303" s="22" t="n"/>
      <c r="C303" s="22" t="n"/>
      <c r="D303" s="35">
        <f>IF($C303="","",IFERROR(VLOOKUP($C303,'2_Control_de_Stock'!$A$11:$N$210,2,0),"⚠️ SKU no existe"))</f>
        <v/>
      </c>
      <c r="E303" s="24" t="n"/>
      <c r="F303" s="33">
        <f>IF($C303="","",IFERROR(VLOOKUP($C303,'2_Control_de_Stock'!$A$11:$N$210,11,0),0))</f>
        <v/>
      </c>
      <c r="G303" s="26">
        <f>IF(OR($C303="",$E303=""),"",$E303*$F303)</f>
        <v/>
      </c>
      <c r="H303" s="22" t="n"/>
      <c r="I303" s="33">
        <f>IF($C303="","",IFERROR($E303*VLOOKUP($C303,'2_Control_de_Stock'!$A$11:$N$210,10,0),0))</f>
        <v/>
      </c>
      <c r="J303" s="36">
        <f>IF($G303="","",$G303-$I303)</f>
        <v/>
      </c>
      <c r="K303" s="37">
        <f>IF($C303="","",IFERROR(VLOOKUP($C303,'2_Control_de_Stock'!$A$11:$N$210,3,0),""))</f>
        <v/>
      </c>
    </row>
    <row r="304">
      <c r="A304" s="21" t="n"/>
      <c r="B304" s="22" t="n"/>
      <c r="C304" s="22" t="n"/>
      <c r="D304" s="35">
        <f>IF($C304="","",IFERROR(VLOOKUP($C304,'2_Control_de_Stock'!$A$11:$N$210,2,0),"⚠️ SKU no existe"))</f>
        <v/>
      </c>
      <c r="E304" s="24" t="n"/>
      <c r="F304" s="33">
        <f>IF($C304="","",IFERROR(VLOOKUP($C304,'2_Control_de_Stock'!$A$11:$N$210,11,0),0))</f>
        <v/>
      </c>
      <c r="G304" s="26">
        <f>IF(OR($C304="",$E304=""),"",$E304*$F304)</f>
        <v/>
      </c>
      <c r="H304" s="22" t="n"/>
      <c r="I304" s="33">
        <f>IF($C304="","",IFERROR($E304*VLOOKUP($C304,'2_Control_de_Stock'!$A$11:$N$210,10,0),0))</f>
        <v/>
      </c>
      <c r="J304" s="36">
        <f>IF($G304="","",$G304-$I304)</f>
        <v/>
      </c>
      <c r="K304" s="37">
        <f>IF($C304="","",IFERROR(VLOOKUP($C304,'2_Control_de_Stock'!$A$11:$N$210,3,0),""))</f>
        <v/>
      </c>
    </row>
    <row r="305">
      <c r="A305" s="21" t="n"/>
      <c r="B305" s="22" t="n"/>
      <c r="C305" s="22" t="n"/>
      <c r="D305" s="35">
        <f>IF($C305="","",IFERROR(VLOOKUP($C305,'2_Control_de_Stock'!$A$11:$N$210,2,0),"⚠️ SKU no existe"))</f>
        <v/>
      </c>
      <c r="E305" s="24" t="n"/>
      <c r="F305" s="33">
        <f>IF($C305="","",IFERROR(VLOOKUP($C305,'2_Control_de_Stock'!$A$11:$N$210,11,0),0))</f>
        <v/>
      </c>
      <c r="G305" s="26">
        <f>IF(OR($C305="",$E305=""),"",$E305*$F305)</f>
        <v/>
      </c>
      <c r="H305" s="22" t="n"/>
      <c r="I305" s="33">
        <f>IF($C305="","",IFERROR($E305*VLOOKUP($C305,'2_Control_de_Stock'!$A$11:$N$210,10,0),0))</f>
        <v/>
      </c>
      <c r="J305" s="36">
        <f>IF($G305="","",$G305-$I305)</f>
        <v/>
      </c>
      <c r="K305" s="37">
        <f>IF($C305="","",IFERROR(VLOOKUP($C305,'2_Control_de_Stock'!$A$11:$N$210,3,0),""))</f>
        <v/>
      </c>
    </row>
    <row r="306">
      <c r="A306" s="21" t="n"/>
      <c r="B306" s="22" t="n"/>
      <c r="C306" s="22" t="n"/>
      <c r="D306" s="35">
        <f>IF($C306="","",IFERROR(VLOOKUP($C306,'2_Control_de_Stock'!$A$11:$N$210,2,0),"⚠️ SKU no existe"))</f>
        <v/>
      </c>
      <c r="E306" s="24" t="n"/>
      <c r="F306" s="33">
        <f>IF($C306="","",IFERROR(VLOOKUP($C306,'2_Control_de_Stock'!$A$11:$N$210,11,0),0))</f>
        <v/>
      </c>
      <c r="G306" s="26">
        <f>IF(OR($C306="",$E306=""),"",$E306*$F306)</f>
        <v/>
      </c>
      <c r="H306" s="22" t="n"/>
      <c r="I306" s="33">
        <f>IF($C306="","",IFERROR($E306*VLOOKUP($C306,'2_Control_de_Stock'!$A$11:$N$210,10,0),0))</f>
        <v/>
      </c>
      <c r="J306" s="36">
        <f>IF($G306="","",$G306-$I306)</f>
        <v/>
      </c>
      <c r="K306" s="37">
        <f>IF($C306="","",IFERROR(VLOOKUP($C306,'2_Control_de_Stock'!$A$11:$N$210,3,0),""))</f>
        <v/>
      </c>
    </row>
    <row r="307">
      <c r="A307" s="21" t="n"/>
      <c r="B307" s="22" t="n"/>
      <c r="C307" s="22" t="n"/>
      <c r="D307" s="35">
        <f>IF($C307="","",IFERROR(VLOOKUP($C307,'2_Control_de_Stock'!$A$11:$N$210,2,0),"⚠️ SKU no existe"))</f>
        <v/>
      </c>
      <c r="E307" s="24" t="n"/>
      <c r="F307" s="33">
        <f>IF($C307="","",IFERROR(VLOOKUP($C307,'2_Control_de_Stock'!$A$11:$N$210,11,0),0))</f>
        <v/>
      </c>
      <c r="G307" s="26">
        <f>IF(OR($C307="",$E307=""),"",$E307*$F307)</f>
        <v/>
      </c>
      <c r="H307" s="22" t="n"/>
      <c r="I307" s="33">
        <f>IF($C307="","",IFERROR($E307*VLOOKUP($C307,'2_Control_de_Stock'!$A$11:$N$210,10,0),0))</f>
        <v/>
      </c>
      <c r="J307" s="36">
        <f>IF($G307="","",$G307-$I307)</f>
        <v/>
      </c>
      <c r="K307" s="37">
        <f>IF($C307="","",IFERROR(VLOOKUP($C307,'2_Control_de_Stock'!$A$11:$N$210,3,0),""))</f>
        <v/>
      </c>
    </row>
    <row r="308">
      <c r="A308" s="21" t="n"/>
      <c r="B308" s="22" t="n"/>
      <c r="C308" s="22" t="n"/>
      <c r="D308" s="35">
        <f>IF($C308="","",IFERROR(VLOOKUP($C308,'2_Control_de_Stock'!$A$11:$N$210,2,0),"⚠️ SKU no existe"))</f>
        <v/>
      </c>
      <c r="E308" s="24" t="n"/>
      <c r="F308" s="33">
        <f>IF($C308="","",IFERROR(VLOOKUP($C308,'2_Control_de_Stock'!$A$11:$N$210,11,0),0))</f>
        <v/>
      </c>
      <c r="G308" s="26">
        <f>IF(OR($C308="",$E308=""),"",$E308*$F308)</f>
        <v/>
      </c>
      <c r="H308" s="22" t="n"/>
      <c r="I308" s="33">
        <f>IF($C308="","",IFERROR($E308*VLOOKUP($C308,'2_Control_de_Stock'!$A$11:$N$210,10,0),0))</f>
        <v/>
      </c>
      <c r="J308" s="36">
        <f>IF($G308="","",$G308-$I308)</f>
        <v/>
      </c>
      <c r="K308" s="37">
        <f>IF($C308="","",IFERROR(VLOOKUP($C308,'2_Control_de_Stock'!$A$11:$N$210,3,0),""))</f>
        <v/>
      </c>
    </row>
    <row r="309">
      <c r="A309" s="21" t="n"/>
      <c r="B309" s="22" t="n"/>
      <c r="C309" s="22" t="n"/>
      <c r="D309" s="35">
        <f>IF($C309="","",IFERROR(VLOOKUP($C309,'2_Control_de_Stock'!$A$11:$N$210,2,0),"⚠️ SKU no existe"))</f>
        <v/>
      </c>
      <c r="E309" s="24" t="n"/>
      <c r="F309" s="33">
        <f>IF($C309="","",IFERROR(VLOOKUP($C309,'2_Control_de_Stock'!$A$11:$N$210,11,0),0))</f>
        <v/>
      </c>
      <c r="G309" s="26">
        <f>IF(OR($C309="",$E309=""),"",$E309*$F309)</f>
        <v/>
      </c>
      <c r="H309" s="22" t="n"/>
      <c r="I309" s="33">
        <f>IF($C309="","",IFERROR($E309*VLOOKUP($C309,'2_Control_de_Stock'!$A$11:$N$210,10,0),0))</f>
        <v/>
      </c>
      <c r="J309" s="36">
        <f>IF($G309="","",$G309-$I309)</f>
        <v/>
      </c>
      <c r="K309" s="37">
        <f>IF($C309="","",IFERROR(VLOOKUP($C309,'2_Control_de_Stock'!$A$11:$N$210,3,0),""))</f>
        <v/>
      </c>
    </row>
    <row r="310">
      <c r="A310" s="21" t="n"/>
      <c r="B310" s="22" t="n"/>
      <c r="C310" s="22" t="n"/>
      <c r="D310" s="35">
        <f>IF($C310="","",IFERROR(VLOOKUP($C310,'2_Control_de_Stock'!$A$11:$N$210,2,0),"⚠️ SKU no existe"))</f>
        <v/>
      </c>
      <c r="E310" s="24" t="n"/>
      <c r="F310" s="33">
        <f>IF($C310="","",IFERROR(VLOOKUP($C310,'2_Control_de_Stock'!$A$11:$N$210,11,0),0))</f>
        <v/>
      </c>
      <c r="G310" s="26">
        <f>IF(OR($C310="",$E310=""),"",$E310*$F310)</f>
        <v/>
      </c>
      <c r="H310" s="22" t="n"/>
      <c r="I310" s="33">
        <f>IF($C310="","",IFERROR($E310*VLOOKUP($C310,'2_Control_de_Stock'!$A$11:$N$210,10,0),0))</f>
        <v/>
      </c>
      <c r="J310" s="36">
        <f>IF($G310="","",$G310-$I310)</f>
        <v/>
      </c>
      <c r="K310" s="37">
        <f>IF($C310="","",IFERROR(VLOOKUP($C310,'2_Control_de_Stock'!$A$11:$N$210,3,0),""))</f>
        <v/>
      </c>
    </row>
    <row r="311">
      <c r="A311" s="21" t="n"/>
      <c r="B311" s="22" t="n"/>
      <c r="C311" s="22" t="n"/>
      <c r="D311" s="35">
        <f>IF($C311="","",IFERROR(VLOOKUP($C311,'2_Control_de_Stock'!$A$11:$N$210,2,0),"⚠️ SKU no existe"))</f>
        <v/>
      </c>
      <c r="E311" s="24" t="n"/>
      <c r="F311" s="33">
        <f>IF($C311="","",IFERROR(VLOOKUP($C311,'2_Control_de_Stock'!$A$11:$N$210,11,0),0))</f>
        <v/>
      </c>
      <c r="G311" s="26">
        <f>IF(OR($C311="",$E311=""),"",$E311*$F311)</f>
        <v/>
      </c>
      <c r="H311" s="22" t="n"/>
      <c r="I311" s="33">
        <f>IF($C311="","",IFERROR($E311*VLOOKUP($C311,'2_Control_de_Stock'!$A$11:$N$210,10,0),0))</f>
        <v/>
      </c>
      <c r="J311" s="36">
        <f>IF($G311="","",$G311-$I311)</f>
        <v/>
      </c>
      <c r="K311" s="37">
        <f>IF($C311="","",IFERROR(VLOOKUP($C311,'2_Control_de_Stock'!$A$11:$N$210,3,0),""))</f>
        <v/>
      </c>
    </row>
    <row r="312">
      <c r="A312" s="21" t="n"/>
      <c r="B312" s="22" t="n"/>
      <c r="C312" s="22" t="n"/>
      <c r="D312" s="35">
        <f>IF($C312="","",IFERROR(VLOOKUP($C312,'2_Control_de_Stock'!$A$11:$N$210,2,0),"⚠️ SKU no existe"))</f>
        <v/>
      </c>
      <c r="E312" s="24" t="n"/>
      <c r="F312" s="33">
        <f>IF($C312="","",IFERROR(VLOOKUP($C312,'2_Control_de_Stock'!$A$11:$N$210,11,0),0))</f>
        <v/>
      </c>
      <c r="G312" s="26">
        <f>IF(OR($C312="",$E312=""),"",$E312*$F312)</f>
        <v/>
      </c>
      <c r="H312" s="22" t="n"/>
      <c r="I312" s="33">
        <f>IF($C312="","",IFERROR($E312*VLOOKUP($C312,'2_Control_de_Stock'!$A$11:$N$210,10,0),0))</f>
        <v/>
      </c>
      <c r="J312" s="36">
        <f>IF($G312="","",$G312-$I312)</f>
        <v/>
      </c>
      <c r="K312" s="37">
        <f>IF($C312="","",IFERROR(VLOOKUP($C312,'2_Control_de_Stock'!$A$11:$N$210,3,0),""))</f>
        <v/>
      </c>
    </row>
    <row r="313">
      <c r="A313" s="21" t="n"/>
      <c r="B313" s="22" t="n"/>
      <c r="C313" s="22" t="n"/>
      <c r="D313" s="35">
        <f>IF($C313="","",IFERROR(VLOOKUP($C313,'2_Control_de_Stock'!$A$11:$N$210,2,0),"⚠️ SKU no existe"))</f>
        <v/>
      </c>
      <c r="E313" s="24" t="n"/>
      <c r="F313" s="33">
        <f>IF($C313="","",IFERROR(VLOOKUP($C313,'2_Control_de_Stock'!$A$11:$N$210,11,0),0))</f>
        <v/>
      </c>
      <c r="G313" s="26">
        <f>IF(OR($C313="",$E313=""),"",$E313*$F313)</f>
        <v/>
      </c>
      <c r="H313" s="22" t="n"/>
      <c r="I313" s="33">
        <f>IF($C313="","",IFERROR($E313*VLOOKUP($C313,'2_Control_de_Stock'!$A$11:$N$210,10,0),0))</f>
        <v/>
      </c>
      <c r="J313" s="36">
        <f>IF($G313="","",$G313-$I313)</f>
        <v/>
      </c>
      <c r="K313" s="37">
        <f>IF($C313="","",IFERROR(VLOOKUP($C313,'2_Control_de_Stock'!$A$11:$N$210,3,0),""))</f>
        <v/>
      </c>
    </row>
    <row r="314">
      <c r="A314" s="21" t="n"/>
      <c r="B314" s="22" t="n"/>
      <c r="C314" s="22" t="n"/>
      <c r="D314" s="35">
        <f>IF($C314="","",IFERROR(VLOOKUP($C314,'2_Control_de_Stock'!$A$11:$N$210,2,0),"⚠️ SKU no existe"))</f>
        <v/>
      </c>
      <c r="E314" s="24" t="n"/>
      <c r="F314" s="33">
        <f>IF($C314="","",IFERROR(VLOOKUP($C314,'2_Control_de_Stock'!$A$11:$N$210,11,0),0))</f>
        <v/>
      </c>
      <c r="G314" s="26">
        <f>IF(OR($C314="",$E314=""),"",$E314*$F314)</f>
        <v/>
      </c>
      <c r="H314" s="22" t="n"/>
      <c r="I314" s="33">
        <f>IF($C314="","",IFERROR($E314*VLOOKUP($C314,'2_Control_de_Stock'!$A$11:$N$210,10,0),0))</f>
        <v/>
      </c>
      <c r="J314" s="36">
        <f>IF($G314="","",$G314-$I314)</f>
        <v/>
      </c>
      <c r="K314" s="37">
        <f>IF($C314="","",IFERROR(VLOOKUP($C314,'2_Control_de_Stock'!$A$11:$N$210,3,0),""))</f>
        <v/>
      </c>
    </row>
    <row r="315">
      <c r="A315" s="21" t="n"/>
      <c r="B315" s="22" t="n"/>
      <c r="C315" s="22" t="n"/>
      <c r="D315" s="35">
        <f>IF($C315="","",IFERROR(VLOOKUP($C315,'2_Control_de_Stock'!$A$11:$N$210,2,0),"⚠️ SKU no existe"))</f>
        <v/>
      </c>
      <c r="E315" s="24" t="n"/>
      <c r="F315" s="33">
        <f>IF($C315="","",IFERROR(VLOOKUP($C315,'2_Control_de_Stock'!$A$11:$N$210,11,0),0))</f>
        <v/>
      </c>
      <c r="G315" s="26">
        <f>IF(OR($C315="",$E315=""),"",$E315*$F315)</f>
        <v/>
      </c>
      <c r="H315" s="22" t="n"/>
      <c r="I315" s="33">
        <f>IF($C315="","",IFERROR($E315*VLOOKUP($C315,'2_Control_de_Stock'!$A$11:$N$210,10,0),0))</f>
        <v/>
      </c>
      <c r="J315" s="36">
        <f>IF($G315="","",$G315-$I315)</f>
        <v/>
      </c>
      <c r="K315" s="37">
        <f>IF($C315="","",IFERROR(VLOOKUP($C315,'2_Control_de_Stock'!$A$11:$N$210,3,0),""))</f>
        <v/>
      </c>
    </row>
    <row r="316">
      <c r="A316" s="21" t="n"/>
      <c r="B316" s="22" t="n"/>
      <c r="C316" s="22" t="n"/>
      <c r="D316" s="35">
        <f>IF($C316="","",IFERROR(VLOOKUP($C316,'2_Control_de_Stock'!$A$11:$N$210,2,0),"⚠️ SKU no existe"))</f>
        <v/>
      </c>
      <c r="E316" s="24" t="n"/>
      <c r="F316" s="33">
        <f>IF($C316="","",IFERROR(VLOOKUP($C316,'2_Control_de_Stock'!$A$11:$N$210,11,0),0))</f>
        <v/>
      </c>
      <c r="G316" s="26">
        <f>IF(OR($C316="",$E316=""),"",$E316*$F316)</f>
        <v/>
      </c>
      <c r="H316" s="22" t="n"/>
      <c r="I316" s="33">
        <f>IF($C316="","",IFERROR($E316*VLOOKUP($C316,'2_Control_de_Stock'!$A$11:$N$210,10,0),0))</f>
        <v/>
      </c>
      <c r="J316" s="36">
        <f>IF($G316="","",$G316-$I316)</f>
        <v/>
      </c>
      <c r="K316" s="37">
        <f>IF($C316="","",IFERROR(VLOOKUP($C316,'2_Control_de_Stock'!$A$11:$N$210,3,0),""))</f>
        <v/>
      </c>
    </row>
    <row r="317">
      <c r="A317" s="21" t="n"/>
      <c r="B317" s="22" t="n"/>
      <c r="C317" s="22" t="n"/>
      <c r="D317" s="35">
        <f>IF($C317="","",IFERROR(VLOOKUP($C317,'2_Control_de_Stock'!$A$11:$N$210,2,0),"⚠️ SKU no existe"))</f>
        <v/>
      </c>
      <c r="E317" s="24" t="n"/>
      <c r="F317" s="33">
        <f>IF($C317="","",IFERROR(VLOOKUP($C317,'2_Control_de_Stock'!$A$11:$N$210,11,0),0))</f>
        <v/>
      </c>
      <c r="G317" s="26">
        <f>IF(OR($C317="",$E317=""),"",$E317*$F317)</f>
        <v/>
      </c>
      <c r="H317" s="22" t="n"/>
      <c r="I317" s="33">
        <f>IF($C317="","",IFERROR($E317*VLOOKUP($C317,'2_Control_de_Stock'!$A$11:$N$210,10,0),0))</f>
        <v/>
      </c>
      <c r="J317" s="36">
        <f>IF($G317="","",$G317-$I317)</f>
        <v/>
      </c>
      <c r="K317" s="37">
        <f>IF($C317="","",IFERROR(VLOOKUP($C317,'2_Control_de_Stock'!$A$11:$N$210,3,0),""))</f>
        <v/>
      </c>
    </row>
    <row r="318">
      <c r="A318" s="21" t="n"/>
      <c r="B318" s="22" t="n"/>
      <c r="C318" s="22" t="n"/>
      <c r="D318" s="35">
        <f>IF($C318="","",IFERROR(VLOOKUP($C318,'2_Control_de_Stock'!$A$11:$N$210,2,0),"⚠️ SKU no existe"))</f>
        <v/>
      </c>
      <c r="E318" s="24" t="n"/>
      <c r="F318" s="33">
        <f>IF($C318="","",IFERROR(VLOOKUP($C318,'2_Control_de_Stock'!$A$11:$N$210,11,0),0))</f>
        <v/>
      </c>
      <c r="G318" s="26">
        <f>IF(OR($C318="",$E318=""),"",$E318*$F318)</f>
        <v/>
      </c>
      <c r="H318" s="22" t="n"/>
      <c r="I318" s="33">
        <f>IF($C318="","",IFERROR($E318*VLOOKUP($C318,'2_Control_de_Stock'!$A$11:$N$210,10,0),0))</f>
        <v/>
      </c>
      <c r="J318" s="36">
        <f>IF($G318="","",$G318-$I318)</f>
        <v/>
      </c>
      <c r="K318" s="37">
        <f>IF($C318="","",IFERROR(VLOOKUP($C318,'2_Control_de_Stock'!$A$11:$N$210,3,0),""))</f>
        <v/>
      </c>
    </row>
    <row r="319">
      <c r="A319" s="21" t="n"/>
      <c r="B319" s="22" t="n"/>
      <c r="C319" s="22" t="n"/>
      <c r="D319" s="35">
        <f>IF($C319="","",IFERROR(VLOOKUP($C319,'2_Control_de_Stock'!$A$11:$N$210,2,0),"⚠️ SKU no existe"))</f>
        <v/>
      </c>
      <c r="E319" s="24" t="n"/>
      <c r="F319" s="33">
        <f>IF($C319="","",IFERROR(VLOOKUP($C319,'2_Control_de_Stock'!$A$11:$N$210,11,0),0))</f>
        <v/>
      </c>
      <c r="G319" s="26">
        <f>IF(OR($C319="",$E319=""),"",$E319*$F319)</f>
        <v/>
      </c>
      <c r="H319" s="22" t="n"/>
      <c r="I319" s="33">
        <f>IF($C319="","",IFERROR($E319*VLOOKUP($C319,'2_Control_de_Stock'!$A$11:$N$210,10,0),0))</f>
        <v/>
      </c>
      <c r="J319" s="36">
        <f>IF($G319="","",$G319-$I319)</f>
        <v/>
      </c>
      <c r="K319" s="37">
        <f>IF($C319="","",IFERROR(VLOOKUP($C319,'2_Control_de_Stock'!$A$11:$N$210,3,0),""))</f>
        <v/>
      </c>
    </row>
    <row r="320">
      <c r="A320" s="21" t="n"/>
      <c r="B320" s="22" t="n"/>
      <c r="C320" s="22" t="n"/>
      <c r="D320" s="35">
        <f>IF($C320="","",IFERROR(VLOOKUP($C320,'2_Control_de_Stock'!$A$11:$N$210,2,0),"⚠️ SKU no existe"))</f>
        <v/>
      </c>
      <c r="E320" s="24" t="n"/>
      <c r="F320" s="33">
        <f>IF($C320="","",IFERROR(VLOOKUP($C320,'2_Control_de_Stock'!$A$11:$N$210,11,0),0))</f>
        <v/>
      </c>
      <c r="G320" s="26">
        <f>IF(OR($C320="",$E320=""),"",$E320*$F320)</f>
        <v/>
      </c>
      <c r="H320" s="22" t="n"/>
      <c r="I320" s="33">
        <f>IF($C320="","",IFERROR($E320*VLOOKUP($C320,'2_Control_de_Stock'!$A$11:$N$210,10,0),0))</f>
        <v/>
      </c>
      <c r="J320" s="36">
        <f>IF($G320="","",$G320-$I320)</f>
        <v/>
      </c>
      <c r="K320" s="37">
        <f>IF($C320="","",IFERROR(VLOOKUP($C320,'2_Control_de_Stock'!$A$11:$N$210,3,0),""))</f>
        <v/>
      </c>
    </row>
    <row r="321">
      <c r="A321" s="21" t="n"/>
      <c r="B321" s="22" t="n"/>
      <c r="C321" s="22" t="n"/>
      <c r="D321" s="35">
        <f>IF($C321="","",IFERROR(VLOOKUP($C321,'2_Control_de_Stock'!$A$11:$N$210,2,0),"⚠️ SKU no existe"))</f>
        <v/>
      </c>
      <c r="E321" s="24" t="n"/>
      <c r="F321" s="33">
        <f>IF($C321="","",IFERROR(VLOOKUP($C321,'2_Control_de_Stock'!$A$11:$N$210,11,0),0))</f>
        <v/>
      </c>
      <c r="G321" s="26">
        <f>IF(OR($C321="",$E321=""),"",$E321*$F321)</f>
        <v/>
      </c>
      <c r="H321" s="22" t="n"/>
      <c r="I321" s="33">
        <f>IF($C321="","",IFERROR($E321*VLOOKUP($C321,'2_Control_de_Stock'!$A$11:$N$210,10,0),0))</f>
        <v/>
      </c>
      <c r="J321" s="36">
        <f>IF($G321="","",$G321-$I321)</f>
        <v/>
      </c>
      <c r="K321" s="37">
        <f>IF($C321="","",IFERROR(VLOOKUP($C321,'2_Control_de_Stock'!$A$11:$N$210,3,0),""))</f>
        <v/>
      </c>
    </row>
    <row r="322">
      <c r="A322" s="21" t="n"/>
      <c r="B322" s="22" t="n"/>
      <c r="C322" s="22" t="n"/>
      <c r="D322" s="35">
        <f>IF($C322="","",IFERROR(VLOOKUP($C322,'2_Control_de_Stock'!$A$11:$N$210,2,0),"⚠️ SKU no existe"))</f>
        <v/>
      </c>
      <c r="E322" s="24" t="n"/>
      <c r="F322" s="33">
        <f>IF($C322="","",IFERROR(VLOOKUP($C322,'2_Control_de_Stock'!$A$11:$N$210,11,0),0))</f>
        <v/>
      </c>
      <c r="G322" s="26">
        <f>IF(OR($C322="",$E322=""),"",$E322*$F322)</f>
        <v/>
      </c>
      <c r="H322" s="22" t="n"/>
      <c r="I322" s="33">
        <f>IF($C322="","",IFERROR($E322*VLOOKUP($C322,'2_Control_de_Stock'!$A$11:$N$210,10,0),0))</f>
        <v/>
      </c>
      <c r="J322" s="36">
        <f>IF($G322="","",$G322-$I322)</f>
        <v/>
      </c>
      <c r="K322" s="37">
        <f>IF($C322="","",IFERROR(VLOOKUP($C322,'2_Control_de_Stock'!$A$11:$N$210,3,0),""))</f>
        <v/>
      </c>
    </row>
    <row r="323">
      <c r="A323" s="21" t="n"/>
      <c r="B323" s="22" t="n"/>
      <c r="C323" s="22" t="n"/>
      <c r="D323" s="35">
        <f>IF($C323="","",IFERROR(VLOOKUP($C323,'2_Control_de_Stock'!$A$11:$N$210,2,0),"⚠️ SKU no existe"))</f>
        <v/>
      </c>
      <c r="E323" s="24" t="n"/>
      <c r="F323" s="33">
        <f>IF($C323="","",IFERROR(VLOOKUP($C323,'2_Control_de_Stock'!$A$11:$N$210,11,0),0))</f>
        <v/>
      </c>
      <c r="G323" s="26">
        <f>IF(OR($C323="",$E323=""),"",$E323*$F323)</f>
        <v/>
      </c>
      <c r="H323" s="22" t="n"/>
      <c r="I323" s="33">
        <f>IF($C323="","",IFERROR($E323*VLOOKUP($C323,'2_Control_de_Stock'!$A$11:$N$210,10,0),0))</f>
        <v/>
      </c>
      <c r="J323" s="36">
        <f>IF($G323="","",$G323-$I323)</f>
        <v/>
      </c>
      <c r="K323" s="37">
        <f>IF($C323="","",IFERROR(VLOOKUP($C323,'2_Control_de_Stock'!$A$11:$N$210,3,0),""))</f>
        <v/>
      </c>
    </row>
    <row r="324">
      <c r="A324" s="21" t="n"/>
      <c r="B324" s="22" t="n"/>
      <c r="C324" s="22" t="n"/>
      <c r="D324" s="35">
        <f>IF($C324="","",IFERROR(VLOOKUP($C324,'2_Control_de_Stock'!$A$11:$N$210,2,0),"⚠️ SKU no existe"))</f>
        <v/>
      </c>
      <c r="E324" s="24" t="n"/>
      <c r="F324" s="33">
        <f>IF($C324="","",IFERROR(VLOOKUP($C324,'2_Control_de_Stock'!$A$11:$N$210,11,0),0))</f>
        <v/>
      </c>
      <c r="G324" s="26">
        <f>IF(OR($C324="",$E324=""),"",$E324*$F324)</f>
        <v/>
      </c>
      <c r="H324" s="22" t="n"/>
      <c r="I324" s="33">
        <f>IF($C324="","",IFERROR($E324*VLOOKUP($C324,'2_Control_de_Stock'!$A$11:$N$210,10,0),0))</f>
        <v/>
      </c>
      <c r="J324" s="36">
        <f>IF($G324="","",$G324-$I324)</f>
        <v/>
      </c>
      <c r="K324" s="37">
        <f>IF($C324="","",IFERROR(VLOOKUP($C324,'2_Control_de_Stock'!$A$11:$N$210,3,0),""))</f>
        <v/>
      </c>
    </row>
    <row r="325">
      <c r="A325" s="21" t="n"/>
      <c r="B325" s="22" t="n"/>
      <c r="C325" s="22" t="n"/>
      <c r="D325" s="35">
        <f>IF($C325="","",IFERROR(VLOOKUP($C325,'2_Control_de_Stock'!$A$11:$N$210,2,0),"⚠️ SKU no existe"))</f>
        <v/>
      </c>
      <c r="E325" s="24" t="n"/>
      <c r="F325" s="33">
        <f>IF($C325="","",IFERROR(VLOOKUP($C325,'2_Control_de_Stock'!$A$11:$N$210,11,0),0))</f>
        <v/>
      </c>
      <c r="G325" s="26">
        <f>IF(OR($C325="",$E325=""),"",$E325*$F325)</f>
        <v/>
      </c>
      <c r="H325" s="22" t="n"/>
      <c r="I325" s="33">
        <f>IF($C325="","",IFERROR($E325*VLOOKUP($C325,'2_Control_de_Stock'!$A$11:$N$210,10,0),0))</f>
        <v/>
      </c>
      <c r="J325" s="36">
        <f>IF($G325="","",$G325-$I325)</f>
        <v/>
      </c>
      <c r="K325" s="37">
        <f>IF($C325="","",IFERROR(VLOOKUP($C325,'2_Control_de_Stock'!$A$11:$N$210,3,0),""))</f>
        <v/>
      </c>
    </row>
    <row r="326">
      <c r="A326" s="21" t="n"/>
      <c r="B326" s="22" t="n"/>
      <c r="C326" s="22" t="n"/>
      <c r="D326" s="35">
        <f>IF($C326="","",IFERROR(VLOOKUP($C326,'2_Control_de_Stock'!$A$11:$N$210,2,0),"⚠️ SKU no existe"))</f>
        <v/>
      </c>
      <c r="E326" s="24" t="n"/>
      <c r="F326" s="33">
        <f>IF($C326="","",IFERROR(VLOOKUP($C326,'2_Control_de_Stock'!$A$11:$N$210,11,0),0))</f>
        <v/>
      </c>
      <c r="G326" s="26">
        <f>IF(OR($C326="",$E326=""),"",$E326*$F326)</f>
        <v/>
      </c>
      <c r="H326" s="22" t="n"/>
      <c r="I326" s="33">
        <f>IF($C326="","",IFERROR($E326*VLOOKUP($C326,'2_Control_de_Stock'!$A$11:$N$210,10,0),0))</f>
        <v/>
      </c>
      <c r="J326" s="36">
        <f>IF($G326="","",$G326-$I326)</f>
        <v/>
      </c>
      <c r="K326" s="37">
        <f>IF($C326="","",IFERROR(VLOOKUP($C326,'2_Control_de_Stock'!$A$11:$N$210,3,0),""))</f>
        <v/>
      </c>
    </row>
    <row r="327">
      <c r="A327" s="21" t="n"/>
      <c r="B327" s="22" t="n"/>
      <c r="C327" s="22" t="n"/>
      <c r="D327" s="35">
        <f>IF($C327="","",IFERROR(VLOOKUP($C327,'2_Control_de_Stock'!$A$11:$N$210,2,0),"⚠️ SKU no existe"))</f>
        <v/>
      </c>
      <c r="E327" s="24" t="n"/>
      <c r="F327" s="33">
        <f>IF($C327="","",IFERROR(VLOOKUP($C327,'2_Control_de_Stock'!$A$11:$N$210,11,0),0))</f>
        <v/>
      </c>
      <c r="G327" s="26">
        <f>IF(OR($C327="",$E327=""),"",$E327*$F327)</f>
        <v/>
      </c>
      <c r="H327" s="22" t="n"/>
      <c r="I327" s="33">
        <f>IF($C327="","",IFERROR($E327*VLOOKUP($C327,'2_Control_de_Stock'!$A$11:$N$210,10,0),0))</f>
        <v/>
      </c>
      <c r="J327" s="36">
        <f>IF($G327="","",$G327-$I327)</f>
        <v/>
      </c>
      <c r="K327" s="37">
        <f>IF($C327="","",IFERROR(VLOOKUP($C327,'2_Control_de_Stock'!$A$11:$N$210,3,0),""))</f>
        <v/>
      </c>
    </row>
    <row r="328">
      <c r="A328" s="21" t="n"/>
      <c r="B328" s="22" t="n"/>
      <c r="C328" s="22" t="n"/>
      <c r="D328" s="35">
        <f>IF($C328="","",IFERROR(VLOOKUP($C328,'2_Control_de_Stock'!$A$11:$N$210,2,0),"⚠️ SKU no existe"))</f>
        <v/>
      </c>
      <c r="E328" s="24" t="n"/>
      <c r="F328" s="33">
        <f>IF($C328="","",IFERROR(VLOOKUP($C328,'2_Control_de_Stock'!$A$11:$N$210,11,0),0))</f>
        <v/>
      </c>
      <c r="G328" s="26">
        <f>IF(OR($C328="",$E328=""),"",$E328*$F328)</f>
        <v/>
      </c>
      <c r="H328" s="22" t="n"/>
      <c r="I328" s="33">
        <f>IF($C328="","",IFERROR($E328*VLOOKUP($C328,'2_Control_de_Stock'!$A$11:$N$210,10,0),0))</f>
        <v/>
      </c>
      <c r="J328" s="36">
        <f>IF($G328="","",$G328-$I328)</f>
        <v/>
      </c>
      <c r="K328" s="37">
        <f>IF($C328="","",IFERROR(VLOOKUP($C328,'2_Control_de_Stock'!$A$11:$N$210,3,0),""))</f>
        <v/>
      </c>
    </row>
    <row r="329">
      <c r="A329" s="21" t="n"/>
      <c r="B329" s="22" t="n"/>
      <c r="C329" s="22" t="n"/>
      <c r="D329" s="35">
        <f>IF($C329="","",IFERROR(VLOOKUP($C329,'2_Control_de_Stock'!$A$11:$N$210,2,0),"⚠️ SKU no existe"))</f>
        <v/>
      </c>
      <c r="E329" s="24" t="n"/>
      <c r="F329" s="33">
        <f>IF($C329="","",IFERROR(VLOOKUP($C329,'2_Control_de_Stock'!$A$11:$N$210,11,0),0))</f>
        <v/>
      </c>
      <c r="G329" s="26">
        <f>IF(OR($C329="",$E329=""),"",$E329*$F329)</f>
        <v/>
      </c>
      <c r="H329" s="22" t="n"/>
      <c r="I329" s="33">
        <f>IF($C329="","",IFERROR($E329*VLOOKUP($C329,'2_Control_de_Stock'!$A$11:$N$210,10,0),0))</f>
        <v/>
      </c>
      <c r="J329" s="36">
        <f>IF($G329="","",$G329-$I329)</f>
        <v/>
      </c>
      <c r="K329" s="37">
        <f>IF($C329="","",IFERROR(VLOOKUP($C329,'2_Control_de_Stock'!$A$11:$N$210,3,0),""))</f>
        <v/>
      </c>
    </row>
    <row r="330">
      <c r="A330" s="21" t="n"/>
      <c r="B330" s="22" t="n"/>
      <c r="C330" s="22" t="n"/>
      <c r="D330" s="35">
        <f>IF($C330="","",IFERROR(VLOOKUP($C330,'2_Control_de_Stock'!$A$11:$N$210,2,0),"⚠️ SKU no existe"))</f>
        <v/>
      </c>
      <c r="E330" s="24" t="n"/>
      <c r="F330" s="33">
        <f>IF($C330="","",IFERROR(VLOOKUP($C330,'2_Control_de_Stock'!$A$11:$N$210,11,0),0))</f>
        <v/>
      </c>
      <c r="G330" s="26">
        <f>IF(OR($C330="",$E330=""),"",$E330*$F330)</f>
        <v/>
      </c>
      <c r="H330" s="22" t="n"/>
      <c r="I330" s="33">
        <f>IF($C330="","",IFERROR($E330*VLOOKUP($C330,'2_Control_de_Stock'!$A$11:$N$210,10,0),0))</f>
        <v/>
      </c>
      <c r="J330" s="36">
        <f>IF($G330="","",$G330-$I330)</f>
        <v/>
      </c>
      <c r="K330" s="37">
        <f>IF($C330="","",IFERROR(VLOOKUP($C330,'2_Control_de_Stock'!$A$11:$N$210,3,0),""))</f>
        <v/>
      </c>
    </row>
    <row r="331">
      <c r="A331" s="21" t="n"/>
      <c r="B331" s="22" t="n"/>
      <c r="C331" s="22" t="n"/>
      <c r="D331" s="35">
        <f>IF($C331="","",IFERROR(VLOOKUP($C331,'2_Control_de_Stock'!$A$11:$N$210,2,0),"⚠️ SKU no existe"))</f>
        <v/>
      </c>
      <c r="E331" s="24" t="n"/>
      <c r="F331" s="33">
        <f>IF($C331="","",IFERROR(VLOOKUP($C331,'2_Control_de_Stock'!$A$11:$N$210,11,0),0))</f>
        <v/>
      </c>
      <c r="G331" s="26">
        <f>IF(OR($C331="",$E331=""),"",$E331*$F331)</f>
        <v/>
      </c>
      <c r="H331" s="22" t="n"/>
      <c r="I331" s="33">
        <f>IF($C331="","",IFERROR($E331*VLOOKUP($C331,'2_Control_de_Stock'!$A$11:$N$210,10,0),0))</f>
        <v/>
      </c>
      <c r="J331" s="36">
        <f>IF($G331="","",$G331-$I331)</f>
        <v/>
      </c>
      <c r="K331" s="37">
        <f>IF($C331="","",IFERROR(VLOOKUP($C331,'2_Control_de_Stock'!$A$11:$N$210,3,0),""))</f>
        <v/>
      </c>
    </row>
    <row r="332">
      <c r="A332" s="21" t="n"/>
      <c r="B332" s="22" t="n"/>
      <c r="C332" s="22" t="n"/>
      <c r="D332" s="35">
        <f>IF($C332="","",IFERROR(VLOOKUP($C332,'2_Control_de_Stock'!$A$11:$N$210,2,0),"⚠️ SKU no existe"))</f>
        <v/>
      </c>
      <c r="E332" s="24" t="n"/>
      <c r="F332" s="33">
        <f>IF($C332="","",IFERROR(VLOOKUP($C332,'2_Control_de_Stock'!$A$11:$N$210,11,0),0))</f>
        <v/>
      </c>
      <c r="G332" s="26">
        <f>IF(OR($C332="",$E332=""),"",$E332*$F332)</f>
        <v/>
      </c>
      <c r="H332" s="22" t="n"/>
      <c r="I332" s="33">
        <f>IF($C332="","",IFERROR($E332*VLOOKUP($C332,'2_Control_de_Stock'!$A$11:$N$210,10,0),0))</f>
        <v/>
      </c>
      <c r="J332" s="36">
        <f>IF($G332="","",$G332-$I332)</f>
        <v/>
      </c>
      <c r="K332" s="37">
        <f>IF($C332="","",IFERROR(VLOOKUP($C332,'2_Control_de_Stock'!$A$11:$N$210,3,0),""))</f>
        <v/>
      </c>
    </row>
    <row r="333">
      <c r="A333" s="21" t="n"/>
      <c r="B333" s="22" t="n"/>
      <c r="C333" s="22" t="n"/>
      <c r="D333" s="35">
        <f>IF($C333="","",IFERROR(VLOOKUP($C333,'2_Control_de_Stock'!$A$11:$N$210,2,0),"⚠️ SKU no existe"))</f>
        <v/>
      </c>
      <c r="E333" s="24" t="n"/>
      <c r="F333" s="33">
        <f>IF($C333="","",IFERROR(VLOOKUP($C333,'2_Control_de_Stock'!$A$11:$N$210,11,0),0))</f>
        <v/>
      </c>
      <c r="G333" s="26">
        <f>IF(OR($C333="",$E333=""),"",$E333*$F333)</f>
        <v/>
      </c>
      <c r="H333" s="22" t="n"/>
      <c r="I333" s="33">
        <f>IF($C333="","",IFERROR($E333*VLOOKUP($C333,'2_Control_de_Stock'!$A$11:$N$210,10,0),0))</f>
        <v/>
      </c>
      <c r="J333" s="36">
        <f>IF($G333="","",$G333-$I333)</f>
        <v/>
      </c>
      <c r="K333" s="37">
        <f>IF($C333="","",IFERROR(VLOOKUP($C333,'2_Control_de_Stock'!$A$11:$N$210,3,0),""))</f>
        <v/>
      </c>
    </row>
    <row r="334">
      <c r="A334" s="21" t="n"/>
      <c r="B334" s="22" t="n"/>
      <c r="C334" s="22" t="n"/>
      <c r="D334" s="35">
        <f>IF($C334="","",IFERROR(VLOOKUP($C334,'2_Control_de_Stock'!$A$11:$N$210,2,0),"⚠️ SKU no existe"))</f>
        <v/>
      </c>
      <c r="E334" s="24" t="n"/>
      <c r="F334" s="33">
        <f>IF($C334="","",IFERROR(VLOOKUP($C334,'2_Control_de_Stock'!$A$11:$N$210,11,0),0))</f>
        <v/>
      </c>
      <c r="G334" s="26">
        <f>IF(OR($C334="",$E334=""),"",$E334*$F334)</f>
        <v/>
      </c>
      <c r="H334" s="22" t="n"/>
      <c r="I334" s="33">
        <f>IF($C334="","",IFERROR($E334*VLOOKUP($C334,'2_Control_de_Stock'!$A$11:$N$210,10,0),0))</f>
        <v/>
      </c>
      <c r="J334" s="36">
        <f>IF($G334="","",$G334-$I334)</f>
        <v/>
      </c>
      <c r="K334" s="37">
        <f>IF($C334="","",IFERROR(VLOOKUP($C334,'2_Control_de_Stock'!$A$11:$N$210,3,0),""))</f>
        <v/>
      </c>
    </row>
    <row r="335">
      <c r="A335" s="21" t="n"/>
      <c r="B335" s="22" t="n"/>
      <c r="C335" s="22" t="n"/>
      <c r="D335" s="35">
        <f>IF($C335="","",IFERROR(VLOOKUP($C335,'2_Control_de_Stock'!$A$11:$N$210,2,0),"⚠️ SKU no existe"))</f>
        <v/>
      </c>
      <c r="E335" s="24" t="n"/>
      <c r="F335" s="33">
        <f>IF($C335="","",IFERROR(VLOOKUP($C335,'2_Control_de_Stock'!$A$11:$N$210,11,0),0))</f>
        <v/>
      </c>
      <c r="G335" s="26">
        <f>IF(OR($C335="",$E335=""),"",$E335*$F335)</f>
        <v/>
      </c>
      <c r="H335" s="22" t="n"/>
      <c r="I335" s="33">
        <f>IF($C335="","",IFERROR($E335*VLOOKUP($C335,'2_Control_de_Stock'!$A$11:$N$210,10,0),0))</f>
        <v/>
      </c>
      <c r="J335" s="36">
        <f>IF($G335="","",$G335-$I335)</f>
        <v/>
      </c>
      <c r="K335" s="37">
        <f>IF($C335="","",IFERROR(VLOOKUP($C335,'2_Control_de_Stock'!$A$11:$N$210,3,0),""))</f>
        <v/>
      </c>
    </row>
    <row r="336">
      <c r="A336" s="21" t="n"/>
      <c r="B336" s="22" t="n"/>
      <c r="C336" s="22" t="n"/>
      <c r="D336" s="35">
        <f>IF($C336="","",IFERROR(VLOOKUP($C336,'2_Control_de_Stock'!$A$11:$N$210,2,0),"⚠️ SKU no existe"))</f>
        <v/>
      </c>
      <c r="E336" s="24" t="n"/>
      <c r="F336" s="33">
        <f>IF($C336="","",IFERROR(VLOOKUP($C336,'2_Control_de_Stock'!$A$11:$N$210,11,0),0))</f>
        <v/>
      </c>
      <c r="G336" s="26">
        <f>IF(OR($C336="",$E336=""),"",$E336*$F336)</f>
        <v/>
      </c>
      <c r="H336" s="22" t="n"/>
      <c r="I336" s="33">
        <f>IF($C336="","",IFERROR($E336*VLOOKUP($C336,'2_Control_de_Stock'!$A$11:$N$210,10,0),0))</f>
        <v/>
      </c>
      <c r="J336" s="36">
        <f>IF($G336="","",$G336-$I336)</f>
        <v/>
      </c>
      <c r="K336" s="37">
        <f>IF($C336="","",IFERROR(VLOOKUP($C336,'2_Control_de_Stock'!$A$11:$N$210,3,0),""))</f>
        <v/>
      </c>
    </row>
    <row r="337">
      <c r="A337" s="21" t="n"/>
      <c r="B337" s="22" t="n"/>
      <c r="C337" s="22" t="n"/>
      <c r="D337" s="35">
        <f>IF($C337="","",IFERROR(VLOOKUP($C337,'2_Control_de_Stock'!$A$11:$N$210,2,0),"⚠️ SKU no existe"))</f>
        <v/>
      </c>
      <c r="E337" s="24" t="n"/>
      <c r="F337" s="33">
        <f>IF($C337="","",IFERROR(VLOOKUP($C337,'2_Control_de_Stock'!$A$11:$N$210,11,0),0))</f>
        <v/>
      </c>
      <c r="G337" s="26">
        <f>IF(OR($C337="",$E337=""),"",$E337*$F337)</f>
        <v/>
      </c>
      <c r="H337" s="22" t="n"/>
      <c r="I337" s="33">
        <f>IF($C337="","",IFERROR($E337*VLOOKUP($C337,'2_Control_de_Stock'!$A$11:$N$210,10,0),0))</f>
        <v/>
      </c>
      <c r="J337" s="36">
        <f>IF($G337="","",$G337-$I337)</f>
        <v/>
      </c>
      <c r="K337" s="37">
        <f>IF($C337="","",IFERROR(VLOOKUP($C337,'2_Control_de_Stock'!$A$11:$N$210,3,0),""))</f>
        <v/>
      </c>
    </row>
    <row r="338">
      <c r="A338" s="21" t="n"/>
      <c r="B338" s="22" t="n"/>
      <c r="C338" s="22" t="n"/>
      <c r="D338" s="35">
        <f>IF($C338="","",IFERROR(VLOOKUP($C338,'2_Control_de_Stock'!$A$11:$N$210,2,0),"⚠️ SKU no existe"))</f>
        <v/>
      </c>
      <c r="E338" s="24" t="n"/>
      <c r="F338" s="33">
        <f>IF($C338="","",IFERROR(VLOOKUP($C338,'2_Control_de_Stock'!$A$11:$N$210,11,0),0))</f>
        <v/>
      </c>
      <c r="G338" s="26">
        <f>IF(OR($C338="",$E338=""),"",$E338*$F338)</f>
        <v/>
      </c>
      <c r="H338" s="22" t="n"/>
      <c r="I338" s="33">
        <f>IF($C338="","",IFERROR($E338*VLOOKUP($C338,'2_Control_de_Stock'!$A$11:$N$210,10,0),0))</f>
        <v/>
      </c>
      <c r="J338" s="36">
        <f>IF($G338="","",$G338-$I338)</f>
        <v/>
      </c>
      <c r="K338" s="37">
        <f>IF($C338="","",IFERROR(VLOOKUP($C338,'2_Control_de_Stock'!$A$11:$N$210,3,0),""))</f>
        <v/>
      </c>
    </row>
    <row r="339">
      <c r="A339" s="21" t="n"/>
      <c r="B339" s="22" t="n"/>
      <c r="C339" s="22" t="n"/>
      <c r="D339" s="35">
        <f>IF($C339="","",IFERROR(VLOOKUP($C339,'2_Control_de_Stock'!$A$11:$N$210,2,0),"⚠️ SKU no existe"))</f>
        <v/>
      </c>
      <c r="E339" s="24" t="n"/>
      <c r="F339" s="33">
        <f>IF($C339="","",IFERROR(VLOOKUP($C339,'2_Control_de_Stock'!$A$11:$N$210,11,0),0))</f>
        <v/>
      </c>
      <c r="G339" s="26">
        <f>IF(OR($C339="",$E339=""),"",$E339*$F339)</f>
        <v/>
      </c>
      <c r="H339" s="22" t="n"/>
      <c r="I339" s="33">
        <f>IF($C339="","",IFERROR($E339*VLOOKUP($C339,'2_Control_de_Stock'!$A$11:$N$210,10,0),0))</f>
        <v/>
      </c>
      <c r="J339" s="36">
        <f>IF($G339="","",$G339-$I339)</f>
        <v/>
      </c>
      <c r="K339" s="37">
        <f>IF($C339="","",IFERROR(VLOOKUP($C339,'2_Control_de_Stock'!$A$11:$N$210,3,0),""))</f>
        <v/>
      </c>
    </row>
    <row r="340">
      <c r="A340" s="21" t="n"/>
      <c r="B340" s="22" t="n"/>
      <c r="C340" s="22" t="n"/>
      <c r="D340" s="35">
        <f>IF($C340="","",IFERROR(VLOOKUP($C340,'2_Control_de_Stock'!$A$11:$N$210,2,0),"⚠️ SKU no existe"))</f>
        <v/>
      </c>
      <c r="E340" s="24" t="n"/>
      <c r="F340" s="33">
        <f>IF($C340="","",IFERROR(VLOOKUP($C340,'2_Control_de_Stock'!$A$11:$N$210,11,0),0))</f>
        <v/>
      </c>
      <c r="G340" s="26">
        <f>IF(OR($C340="",$E340=""),"",$E340*$F340)</f>
        <v/>
      </c>
      <c r="H340" s="22" t="n"/>
      <c r="I340" s="33">
        <f>IF($C340="","",IFERROR($E340*VLOOKUP($C340,'2_Control_de_Stock'!$A$11:$N$210,10,0),0))</f>
        <v/>
      </c>
      <c r="J340" s="36">
        <f>IF($G340="","",$G340-$I340)</f>
        <v/>
      </c>
      <c r="K340" s="37">
        <f>IF($C340="","",IFERROR(VLOOKUP($C340,'2_Control_de_Stock'!$A$11:$N$210,3,0),""))</f>
        <v/>
      </c>
    </row>
    <row r="341">
      <c r="A341" s="21" t="n"/>
      <c r="B341" s="22" t="n"/>
      <c r="C341" s="22" t="n"/>
      <c r="D341" s="35">
        <f>IF($C341="","",IFERROR(VLOOKUP($C341,'2_Control_de_Stock'!$A$11:$N$210,2,0),"⚠️ SKU no existe"))</f>
        <v/>
      </c>
      <c r="E341" s="24" t="n"/>
      <c r="F341" s="33">
        <f>IF($C341="","",IFERROR(VLOOKUP($C341,'2_Control_de_Stock'!$A$11:$N$210,11,0),0))</f>
        <v/>
      </c>
      <c r="G341" s="26">
        <f>IF(OR($C341="",$E341=""),"",$E341*$F341)</f>
        <v/>
      </c>
      <c r="H341" s="22" t="n"/>
      <c r="I341" s="33">
        <f>IF($C341="","",IFERROR($E341*VLOOKUP($C341,'2_Control_de_Stock'!$A$11:$N$210,10,0),0))</f>
        <v/>
      </c>
      <c r="J341" s="36">
        <f>IF($G341="","",$G341-$I341)</f>
        <v/>
      </c>
      <c r="K341" s="37">
        <f>IF($C341="","",IFERROR(VLOOKUP($C341,'2_Control_de_Stock'!$A$11:$N$210,3,0),""))</f>
        <v/>
      </c>
    </row>
    <row r="342">
      <c r="A342" s="21" t="n"/>
      <c r="B342" s="22" t="n"/>
      <c r="C342" s="22" t="n"/>
      <c r="D342" s="35">
        <f>IF($C342="","",IFERROR(VLOOKUP($C342,'2_Control_de_Stock'!$A$11:$N$210,2,0),"⚠️ SKU no existe"))</f>
        <v/>
      </c>
      <c r="E342" s="24" t="n"/>
      <c r="F342" s="33">
        <f>IF($C342="","",IFERROR(VLOOKUP($C342,'2_Control_de_Stock'!$A$11:$N$210,11,0),0))</f>
        <v/>
      </c>
      <c r="G342" s="26">
        <f>IF(OR($C342="",$E342=""),"",$E342*$F342)</f>
        <v/>
      </c>
      <c r="H342" s="22" t="n"/>
      <c r="I342" s="33">
        <f>IF($C342="","",IFERROR($E342*VLOOKUP($C342,'2_Control_de_Stock'!$A$11:$N$210,10,0),0))</f>
        <v/>
      </c>
      <c r="J342" s="36">
        <f>IF($G342="","",$G342-$I342)</f>
        <v/>
      </c>
      <c r="K342" s="37">
        <f>IF($C342="","",IFERROR(VLOOKUP($C342,'2_Control_de_Stock'!$A$11:$N$210,3,0),""))</f>
        <v/>
      </c>
    </row>
    <row r="343">
      <c r="A343" s="21" t="n"/>
      <c r="B343" s="22" t="n"/>
      <c r="C343" s="22" t="n"/>
      <c r="D343" s="35">
        <f>IF($C343="","",IFERROR(VLOOKUP($C343,'2_Control_de_Stock'!$A$11:$N$210,2,0),"⚠️ SKU no existe"))</f>
        <v/>
      </c>
      <c r="E343" s="24" t="n"/>
      <c r="F343" s="33">
        <f>IF($C343="","",IFERROR(VLOOKUP($C343,'2_Control_de_Stock'!$A$11:$N$210,11,0),0))</f>
        <v/>
      </c>
      <c r="G343" s="26">
        <f>IF(OR($C343="",$E343=""),"",$E343*$F343)</f>
        <v/>
      </c>
      <c r="H343" s="22" t="n"/>
      <c r="I343" s="33">
        <f>IF($C343="","",IFERROR($E343*VLOOKUP($C343,'2_Control_de_Stock'!$A$11:$N$210,10,0),0))</f>
        <v/>
      </c>
      <c r="J343" s="36">
        <f>IF($G343="","",$G343-$I343)</f>
        <v/>
      </c>
      <c r="K343" s="37">
        <f>IF($C343="","",IFERROR(VLOOKUP($C343,'2_Control_de_Stock'!$A$11:$N$210,3,0),""))</f>
        <v/>
      </c>
    </row>
    <row r="344">
      <c r="A344" s="21" t="n"/>
      <c r="B344" s="22" t="n"/>
      <c r="C344" s="22" t="n"/>
      <c r="D344" s="35">
        <f>IF($C344="","",IFERROR(VLOOKUP($C344,'2_Control_de_Stock'!$A$11:$N$210,2,0),"⚠️ SKU no existe"))</f>
        <v/>
      </c>
      <c r="E344" s="24" t="n"/>
      <c r="F344" s="33">
        <f>IF($C344="","",IFERROR(VLOOKUP($C344,'2_Control_de_Stock'!$A$11:$N$210,11,0),0))</f>
        <v/>
      </c>
      <c r="G344" s="26">
        <f>IF(OR($C344="",$E344=""),"",$E344*$F344)</f>
        <v/>
      </c>
      <c r="H344" s="22" t="n"/>
      <c r="I344" s="33">
        <f>IF($C344="","",IFERROR($E344*VLOOKUP($C344,'2_Control_de_Stock'!$A$11:$N$210,10,0),0))</f>
        <v/>
      </c>
      <c r="J344" s="36">
        <f>IF($G344="","",$G344-$I344)</f>
        <v/>
      </c>
      <c r="K344" s="37">
        <f>IF($C344="","",IFERROR(VLOOKUP($C344,'2_Control_de_Stock'!$A$11:$N$210,3,0),""))</f>
        <v/>
      </c>
    </row>
    <row r="345">
      <c r="A345" s="21" t="n"/>
      <c r="B345" s="22" t="n"/>
      <c r="C345" s="22" t="n"/>
      <c r="D345" s="35">
        <f>IF($C345="","",IFERROR(VLOOKUP($C345,'2_Control_de_Stock'!$A$11:$N$210,2,0),"⚠️ SKU no existe"))</f>
        <v/>
      </c>
      <c r="E345" s="24" t="n"/>
      <c r="F345" s="33">
        <f>IF($C345="","",IFERROR(VLOOKUP($C345,'2_Control_de_Stock'!$A$11:$N$210,11,0),0))</f>
        <v/>
      </c>
      <c r="G345" s="26">
        <f>IF(OR($C345="",$E345=""),"",$E345*$F345)</f>
        <v/>
      </c>
      <c r="H345" s="22" t="n"/>
      <c r="I345" s="33">
        <f>IF($C345="","",IFERROR($E345*VLOOKUP($C345,'2_Control_de_Stock'!$A$11:$N$210,10,0),0))</f>
        <v/>
      </c>
      <c r="J345" s="36">
        <f>IF($G345="","",$G345-$I345)</f>
        <v/>
      </c>
      <c r="K345" s="37">
        <f>IF($C345="","",IFERROR(VLOOKUP($C345,'2_Control_de_Stock'!$A$11:$N$210,3,0),""))</f>
        <v/>
      </c>
    </row>
    <row r="346">
      <c r="A346" s="21" t="n"/>
      <c r="B346" s="22" t="n"/>
      <c r="C346" s="22" t="n"/>
      <c r="D346" s="35">
        <f>IF($C346="","",IFERROR(VLOOKUP($C346,'2_Control_de_Stock'!$A$11:$N$210,2,0),"⚠️ SKU no existe"))</f>
        <v/>
      </c>
      <c r="E346" s="24" t="n"/>
      <c r="F346" s="33">
        <f>IF($C346="","",IFERROR(VLOOKUP($C346,'2_Control_de_Stock'!$A$11:$N$210,11,0),0))</f>
        <v/>
      </c>
      <c r="G346" s="26">
        <f>IF(OR($C346="",$E346=""),"",$E346*$F346)</f>
        <v/>
      </c>
      <c r="H346" s="22" t="n"/>
      <c r="I346" s="33">
        <f>IF($C346="","",IFERROR($E346*VLOOKUP($C346,'2_Control_de_Stock'!$A$11:$N$210,10,0),0))</f>
        <v/>
      </c>
      <c r="J346" s="36">
        <f>IF($G346="","",$G346-$I346)</f>
        <v/>
      </c>
      <c r="K346" s="37">
        <f>IF($C346="","",IFERROR(VLOOKUP($C346,'2_Control_de_Stock'!$A$11:$N$210,3,0),""))</f>
        <v/>
      </c>
    </row>
    <row r="347">
      <c r="A347" s="21" t="n"/>
      <c r="B347" s="22" t="n"/>
      <c r="C347" s="22" t="n"/>
      <c r="D347" s="35">
        <f>IF($C347="","",IFERROR(VLOOKUP($C347,'2_Control_de_Stock'!$A$11:$N$210,2,0),"⚠️ SKU no existe"))</f>
        <v/>
      </c>
      <c r="E347" s="24" t="n"/>
      <c r="F347" s="33">
        <f>IF($C347="","",IFERROR(VLOOKUP($C347,'2_Control_de_Stock'!$A$11:$N$210,11,0),0))</f>
        <v/>
      </c>
      <c r="G347" s="26">
        <f>IF(OR($C347="",$E347=""),"",$E347*$F347)</f>
        <v/>
      </c>
      <c r="H347" s="22" t="n"/>
      <c r="I347" s="33">
        <f>IF($C347="","",IFERROR($E347*VLOOKUP($C347,'2_Control_de_Stock'!$A$11:$N$210,10,0),0))</f>
        <v/>
      </c>
      <c r="J347" s="36">
        <f>IF($G347="","",$G347-$I347)</f>
        <v/>
      </c>
      <c r="K347" s="37">
        <f>IF($C347="","",IFERROR(VLOOKUP($C347,'2_Control_de_Stock'!$A$11:$N$210,3,0),""))</f>
        <v/>
      </c>
    </row>
    <row r="348">
      <c r="A348" s="21" t="n"/>
      <c r="B348" s="22" t="n"/>
      <c r="C348" s="22" t="n"/>
      <c r="D348" s="35">
        <f>IF($C348="","",IFERROR(VLOOKUP($C348,'2_Control_de_Stock'!$A$11:$N$210,2,0),"⚠️ SKU no existe"))</f>
        <v/>
      </c>
      <c r="E348" s="24" t="n"/>
      <c r="F348" s="33">
        <f>IF($C348="","",IFERROR(VLOOKUP($C348,'2_Control_de_Stock'!$A$11:$N$210,11,0),0))</f>
        <v/>
      </c>
      <c r="G348" s="26">
        <f>IF(OR($C348="",$E348=""),"",$E348*$F348)</f>
        <v/>
      </c>
      <c r="H348" s="22" t="n"/>
      <c r="I348" s="33">
        <f>IF($C348="","",IFERROR($E348*VLOOKUP($C348,'2_Control_de_Stock'!$A$11:$N$210,10,0),0))</f>
        <v/>
      </c>
      <c r="J348" s="36">
        <f>IF($G348="","",$G348-$I348)</f>
        <v/>
      </c>
      <c r="K348" s="37">
        <f>IF($C348="","",IFERROR(VLOOKUP($C348,'2_Control_de_Stock'!$A$11:$N$210,3,0),""))</f>
        <v/>
      </c>
    </row>
    <row r="349">
      <c r="A349" s="21" t="n"/>
      <c r="B349" s="22" t="n"/>
      <c r="C349" s="22" t="n"/>
      <c r="D349" s="35">
        <f>IF($C349="","",IFERROR(VLOOKUP($C349,'2_Control_de_Stock'!$A$11:$N$210,2,0),"⚠️ SKU no existe"))</f>
        <v/>
      </c>
      <c r="E349" s="24" t="n"/>
      <c r="F349" s="33">
        <f>IF($C349="","",IFERROR(VLOOKUP($C349,'2_Control_de_Stock'!$A$11:$N$210,11,0),0))</f>
        <v/>
      </c>
      <c r="G349" s="26">
        <f>IF(OR($C349="",$E349=""),"",$E349*$F349)</f>
        <v/>
      </c>
      <c r="H349" s="22" t="n"/>
      <c r="I349" s="33">
        <f>IF($C349="","",IFERROR($E349*VLOOKUP($C349,'2_Control_de_Stock'!$A$11:$N$210,10,0),0))</f>
        <v/>
      </c>
      <c r="J349" s="36">
        <f>IF($G349="","",$G349-$I349)</f>
        <v/>
      </c>
      <c r="K349" s="37">
        <f>IF($C349="","",IFERROR(VLOOKUP($C349,'2_Control_de_Stock'!$A$11:$N$210,3,0),""))</f>
        <v/>
      </c>
    </row>
    <row r="350">
      <c r="A350" s="21" t="n"/>
      <c r="B350" s="22" t="n"/>
      <c r="C350" s="22" t="n"/>
      <c r="D350" s="35">
        <f>IF($C350="","",IFERROR(VLOOKUP($C350,'2_Control_de_Stock'!$A$11:$N$210,2,0),"⚠️ SKU no existe"))</f>
        <v/>
      </c>
      <c r="E350" s="24" t="n"/>
      <c r="F350" s="33">
        <f>IF($C350="","",IFERROR(VLOOKUP($C350,'2_Control_de_Stock'!$A$11:$N$210,11,0),0))</f>
        <v/>
      </c>
      <c r="G350" s="26">
        <f>IF(OR($C350="",$E350=""),"",$E350*$F350)</f>
        <v/>
      </c>
      <c r="H350" s="22" t="n"/>
      <c r="I350" s="33">
        <f>IF($C350="","",IFERROR($E350*VLOOKUP($C350,'2_Control_de_Stock'!$A$11:$N$210,10,0),0))</f>
        <v/>
      </c>
      <c r="J350" s="36">
        <f>IF($G350="","",$G350-$I350)</f>
        <v/>
      </c>
      <c r="K350" s="37">
        <f>IF($C350="","",IFERROR(VLOOKUP($C350,'2_Control_de_Stock'!$A$11:$N$210,3,0),""))</f>
        <v/>
      </c>
    </row>
    <row r="351">
      <c r="A351" s="21" t="n"/>
      <c r="B351" s="22" t="n"/>
      <c r="C351" s="22" t="n"/>
      <c r="D351" s="35">
        <f>IF($C351="","",IFERROR(VLOOKUP($C351,'2_Control_de_Stock'!$A$11:$N$210,2,0),"⚠️ SKU no existe"))</f>
        <v/>
      </c>
      <c r="E351" s="24" t="n"/>
      <c r="F351" s="33">
        <f>IF($C351="","",IFERROR(VLOOKUP($C351,'2_Control_de_Stock'!$A$11:$N$210,11,0),0))</f>
        <v/>
      </c>
      <c r="G351" s="26">
        <f>IF(OR($C351="",$E351=""),"",$E351*$F351)</f>
        <v/>
      </c>
      <c r="H351" s="22" t="n"/>
      <c r="I351" s="33">
        <f>IF($C351="","",IFERROR($E351*VLOOKUP($C351,'2_Control_de_Stock'!$A$11:$N$210,10,0),0))</f>
        <v/>
      </c>
      <c r="J351" s="36">
        <f>IF($G351="","",$G351-$I351)</f>
        <v/>
      </c>
      <c r="K351" s="37">
        <f>IF($C351="","",IFERROR(VLOOKUP($C351,'2_Control_de_Stock'!$A$11:$N$210,3,0),""))</f>
        <v/>
      </c>
    </row>
    <row r="352">
      <c r="A352" s="21" t="n"/>
      <c r="B352" s="22" t="n"/>
      <c r="C352" s="22" t="n"/>
      <c r="D352" s="35">
        <f>IF($C352="","",IFERROR(VLOOKUP($C352,'2_Control_de_Stock'!$A$11:$N$210,2,0),"⚠️ SKU no existe"))</f>
        <v/>
      </c>
      <c r="E352" s="24" t="n"/>
      <c r="F352" s="33">
        <f>IF($C352="","",IFERROR(VLOOKUP($C352,'2_Control_de_Stock'!$A$11:$N$210,11,0),0))</f>
        <v/>
      </c>
      <c r="G352" s="26">
        <f>IF(OR($C352="",$E352=""),"",$E352*$F352)</f>
        <v/>
      </c>
      <c r="H352" s="22" t="n"/>
      <c r="I352" s="33">
        <f>IF($C352="","",IFERROR($E352*VLOOKUP($C352,'2_Control_de_Stock'!$A$11:$N$210,10,0),0))</f>
        <v/>
      </c>
      <c r="J352" s="36">
        <f>IF($G352="","",$G352-$I352)</f>
        <v/>
      </c>
      <c r="K352" s="37">
        <f>IF($C352="","",IFERROR(VLOOKUP($C352,'2_Control_de_Stock'!$A$11:$N$210,3,0),""))</f>
        <v/>
      </c>
    </row>
    <row r="353">
      <c r="A353" s="21" t="n"/>
      <c r="B353" s="22" t="n"/>
      <c r="C353" s="22" t="n"/>
      <c r="D353" s="35">
        <f>IF($C353="","",IFERROR(VLOOKUP($C353,'2_Control_de_Stock'!$A$11:$N$210,2,0),"⚠️ SKU no existe"))</f>
        <v/>
      </c>
      <c r="E353" s="24" t="n"/>
      <c r="F353" s="33">
        <f>IF($C353="","",IFERROR(VLOOKUP($C353,'2_Control_de_Stock'!$A$11:$N$210,11,0),0))</f>
        <v/>
      </c>
      <c r="G353" s="26">
        <f>IF(OR($C353="",$E353=""),"",$E353*$F353)</f>
        <v/>
      </c>
      <c r="H353" s="22" t="n"/>
      <c r="I353" s="33">
        <f>IF($C353="","",IFERROR($E353*VLOOKUP($C353,'2_Control_de_Stock'!$A$11:$N$210,10,0),0))</f>
        <v/>
      </c>
      <c r="J353" s="36">
        <f>IF($G353="","",$G353-$I353)</f>
        <v/>
      </c>
      <c r="K353" s="37">
        <f>IF($C353="","",IFERROR(VLOOKUP($C353,'2_Control_de_Stock'!$A$11:$N$210,3,0),""))</f>
        <v/>
      </c>
    </row>
    <row r="354">
      <c r="A354" s="21" t="n"/>
      <c r="B354" s="22" t="n"/>
      <c r="C354" s="22" t="n"/>
      <c r="D354" s="35">
        <f>IF($C354="","",IFERROR(VLOOKUP($C354,'2_Control_de_Stock'!$A$11:$N$210,2,0),"⚠️ SKU no existe"))</f>
        <v/>
      </c>
      <c r="E354" s="24" t="n"/>
      <c r="F354" s="33">
        <f>IF($C354="","",IFERROR(VLOOKUP($C354,'2_Control_de_Stock'!$A$11:$N$210,11,0),0))</f>
        <v/>
      </c>
      <c r="G354" s="26">
        <f>IF(OR($C354="",$E354=""),"",$E354*$F354)</f>
        <v/>
      </c>
      <c r="H354" s="22" t="n"/>
      <c r="I354" s="33">
        <f>IF($C354="","",IFERROR($E354*VLOOKUP($C354,'2_Control_de_Stock'!$A$11:$N$210,10,0),0))</f>
        <v/>
      </c>
      <c r="J354" s="36">
        <f>IF($G354="","",$G354-$I354)</f>
        <v/>
      </c>
      <c r="K354" s="37">
        <f>IF($C354="","",IFERROR(VLOOKUP($C354,'2_Control_de_Stock'!$A$11:$N$210,3,0),""))</f>
        <v/>
      </c>
    </row>
    <row r="355">
      <c r="A355" s="21" t="n"/>
      <c r="B355" s="22" t="n"/>
      <c r="C355" s="22" t="n"/>
      <c r="D355" s="35">
        <f>IF($C355="","",IFERROR(VLOOKUP($C355,'2_Control_de_Stock'!$A$11:$N$210,2,0),"⚠️ SKU no existe"))</f>
        <v/>
      </c>
      <c r="E355" s="24" t="n"/>
      <c r="F355" s="33">
        <f>IF($C355="","",IFERROR(VLOOKUP($C355,'2_Control_de_Stock'!$A$11:$N$210,11,0),0))</f>
        <v/>
      </c>
      <c r="G355" s="26">
        <f>IF(OR($C355="",$E355=""),"",$E355*$F355)</f>
        <v/>
      </c>
      <c r="H355" s="22" t="n"/>
      <c r="I355" s="33">
        <f>IF($C355="","",IFERROR($E355*VLOOKUP($C355,'2_Control_de_Stock'!$A$11:$N$210,10,0),0))</f>
        <v/>
      </c>
      <c r="J355" s="36">
        <f>IF($G355="","",$G355-$I355)</f>
        <v/>
      </c>
      <c r="K355" s="37">
        <f>IF($C355="","",IFERROR(VLOOKUP($C355,'2_Control_de_Stock'!$A$11:$N$210,3,0),""))</f>
        <v/>
      </c>
    </row>
    <row r="356">
      <c r="A356" s="21" t="n"/>
      <c r="B356" s="22" t="n"/>
      <c r="C356" s="22" t="n"/>
      <c r="D356" s="35">
        <f>IF($C356="","",IFERROR(VLOOKUP($C356,'2_Control_de_Stock'!$A$11:$N$210,2,0),"⚠️ SKU no existe"))</f>
        <v/>
      </c>
      <c r="E356" s="24" t="n"/>
      <c r="F356" s="33">
        <f>IF($C356="","",IFERROR(VLOOKUP($C356,'2_Control_de_Stock'!$A$11:$N$210,11,0),0))</f>
        <v/>
      </c>
      <c r="G356" s="26">
        <f>IF(OR($C356="",$E356=""),"",$E356*$F356)</f>
        <v/>
      </c>
      <c r="H356" s="22" t="n"/>
      <c r="I356" s="33">
        <f>IF($C356="","",IFERROR($E356*VLOOKUP($C356,'2_Control_de_Stock'!$A$11:$N$210,10,0),0))</f>
        <v/>
      </c>
      <c r="J356" s="36">
        <f>IF($G356="","",$G356-$I356)</f>
        <v/>
      </c>
      <c r="K356" s="37">
        <f>IF($C356="","",IFERROR(VLOOKUP($C356,'2_Control_de_Stock'!$A$11:$N$210,3,0),""))</f>
        <v/>
      </c>
    </row>
    <row r="357">
      <c r="A357" s="21" t="n"/>
      <c r="B357" s="22" t="n"/>
      <c r="C357" s="22" t="n"/>
      <c r="D357" s="35">
        <f>IF($C357="","",IFERROR(VLOOKUP($C357,'2_Control_de_Stock'!$A$11:$N$210,2,0),"⚠️ SKU no existe"))</f>
        <v/>
      </c>
      <c r="E357" s="24" t="n"/>
      <c r="F357" s="33">
        <f>IF($C357="","",IFERROR(VLOOKUP($C357,'2_Control_de_Stock'!$A$11:$N$210,11,0),0))</f>
        <v/>
      </c>
      <c r="G357" s="26">
        <f>IF(OR($C357="",$E357=""),"",$E357*$F357)</f>
        <v/>
      </c>
      <c r="H357" s="22" t="n"/>
      <c r="I357" s="33">
        <f>IF($C357="","",IFERROR($E357*VLOOKUP($C357,'2_Control_de_Stock'!$A$11:$N$210,10,0),0))</f>
        <v/>
      </c>
      <c r="J357" s="36">
        <f>IF($G357="","",$G357-$I357)</f>
        <v/>
      </c>
      <c r="K357" s="37">
        <f>IF($C357="","",IFERROR(VLOOKUP($C357,'2_Control_de_Stock'!$A$11:$N$210,3,0),""))</f>
        <v/>
      </c>
    </row>
    <row r="358">
      <c r="A358" s="21" t="n"/>
      <c r="B358" s="22" t="n"/>
      <c r="C358" s="22" t="n"/>
      <c r="D358" s="35">
        <f>IF($C358="","",IFERROR(VLOOKUP($C358,'2_Control_de_Stock'!$A$11:$N$210,2,0),"⚠️ SKU no existe"))</f>
        <v/>
      </c>
      <c r="E358" s="24" t="n"/>
      <c r="F358" s="33">
        <f>IF($C358="","",IFERROR(VLOOKUP($C358,'2_Control_de_Stock'!$A$11:$N$210,11,0),0))</f>
        <v/>
      </c>
      <c r="G358" s="26">
        <f>IF(OR($C358="",$E358=""),"",$E358*$F358)</f>
        <v/>
      </c>
      <c r="H358" s="22" t="n"/>
      <c r="I358" s="33">
        <f>IF($C358="","",IFERROR($E358*VLOOKUP($C358,'2_Control_de_Stock'!$A$11:$N$210,10,0),0))</f>
        <v/>
      </c>
      <c r="J358" s="36">
        <f>IF($G358="","",$G358-$I358)</f>
        <v/>
      </c>
      <c r="K358" s="37">
        <f>IF($C358="","",IFERROR(VLOOKUP($C358,'2_Control_de_Stock'!$A$11:$N$210,3,0),""))</f>
        <v/>
      </c>
    </row>
    <row r="359">
      <c r="A359" s="21" t="n"/>
      <c r="B359" s="22" t="n"/>
      <c r="C359" s="22" t="n"/>
      <c r="D359" s="35">
        <f>IF($C359="","",IFERROR(VLOOKUP($C359,'2_Control_de_Stock'!$A$11:$N$210,2,0),"⚠️ SKU no existe"))</f>
        <v/>
      </c>
      <c r="E359" s="24" t="n"/>
      <c r="F359" s="33">
        <f>IF($C359="","",IFERROR(VLOOKUP($C359,'2_Control_de_Stock'!$A$11:$N$210,11,0),0))</f>
        <v/>
      </c>
      <c r="G359" s="26">
        <f>IF(OR($C359="",$E359=""),"",$E359*$F359)</f>
        <v/>
      </c>
      <c r="H359" s="22" t="n"/>
      <c r="I359" s="33">
        <f>IF($C359="","",IFERROR($E359*VLOOKUP($C359,'2_Control_de_Stock'!$A$11:$N$210,10,0),0))</f>
        <v/>
      </c>
      <c r="J359" s="36">
        <f>IF($G359="","",$G359-$I359)</f>
        <v/>
      </c>
      <c r="K359" s="37">
        <f>IF($C359="","",IFERROR(VLOOKUP($C359,'2_Control_de_Stock'!$A$11:$N$210,3,0),""))</f>
        <v/>
      </c>
    </row>
    <row r="360">
      <c r="A360" s="21" t="n"/>
      <c r="B360" s="22" t="n"/>
      <c r="C360" s="22" t="n"/>
      <c r="D360" s="35">
        <f>IF($C360="","",IFERROR(VLOOKUP($C360,'2_Control_de_Stock'!$A$11:$N$210,2,0),"⚠️ SKU no existe"))</f>
        <v/>
      </c>
      <c r="E360" s="24" t="n"/>
      <c r="F360" s="33">
        <f>IF($C360="","",IFERROR(VLOOKUP($C360,'2_Control_de_Stock'!$A$11:$N$210,11,0),0))</f>
        <v/>
      </c>
      <c r="G360" s="26">
        <f>IF(OR($C360="",$E360=""),"",$E360*$F360)</f>
        <v/>
      </c>
      <c r="H360" s="22" t="n"/>
      <c r="I360" s="33">
        <f>IF($C360="","",IFERROR($E360*VLOOKUP($C360,'2_Control_de_Stock'!$A$11:$N$210,10,0),0))</f>
        <v/>
      </c>
      <c r="J360" s="36">
        <f>IF($G360="","",$G360-$I360)</f>
        <v/>
      </c>
      <c r="K360" s="37">
        <f>IF($C360="","",IFERROR(VLOOKUP($C360,'2_Control_de_Stock'!$A$11:$N$210,3,0),""))</f>
        <v/>
      </c>
    </row>
    <row r="361">
      <c r="A361" s="21" t="n"/>
      <c r="B361" s="22" t="n"/>
      <c r="C361" s="22" t="n"/>
      <c r="D361" s="35">
        <f>IF($C361="","",IFERROR(VLOOKUP($C361,'2_Control_de_Stock'!$A$11:$N$210,2,0),"⚠️ SKU no existe"))</f>
        <v/>
      </c>
      <c r="E361" s="24" t="n"/>
      <c r="F361" s="33">
        <f>IF($C361="","",IFERROR(VLOOKUP($C361,'2_Control_de_Stock'!$A$11:$N$210,11,0),0))</f>
        <v/>
      </c>
      <c r="G361" s="26">
        <f>IF(OR($C361="",$E361=""),"",$E361*$F361)</f>
        <v/>
      </c>
      <c r="H361" s="22" t="n"/>
      <c r="I361" s="33">
        <f>IF($C361="","",IFERROR($E361*VLOOKUP($C361,'2_Control_de_Stock'!$A$11:$N$210,10,0),0))</f>
        <v/>
      </c>
      <c r="J361" s="36">
        <f>IF($G361="","",$G361-$I361)</f>
        <v/>
      </c>
      <c r="K361" s="37">
        <f>IF($C361="","",IFERROR(VLOOKUP($C361,'2_Control_de_Stock'!$A$11:$N$210,3,0),""))</f>
        <v/>
      </c>
    </row>
    <row r="362">
      <c r="A362" s="21" t="n"/>
      <c r="B362" s="22" t="n"/>
      <c r="C362" s="22" t="n"/>
      <c r="D362" s="35">
        <f>IF($C362="","",IFERROR(VLOOKUP($C362,'2_Control_de_Stock'!$A$11:$N$210,2,0),"⚠️ SKU no existe"))</f>
        <v/>
      </c>
      <c r="E362" s="24" t="n"/>
      <c r="F362" s="33">
        <f>IF($C362="","",IFERROR(VLOOKUP($C362,'2_Control_de_Stock'!$A$11:$N$210,11,0),0))</f>
        <v/>
      </c>
      <c r="G362" s="26">
        <f>IF(OR($C362="",$E362=""),"",$E362*$F362)</f>
        <v/>
      </c>
      <c r="H362" s="22" t="n"/>
      <c r="I362" s="33">
        <f>IF($C362="","",IFERROR($E362*VLOOKUP($C362,'2_Control_de_Stock'!$A$11:$N$210,10,0),0))</f>
        <v/>
      </c>
      <c r="J362" s="36">
        <f>IF($G362="","",$G362-$I362)</f>
        <v/>
      </c>
      <c r="K362" s="37">
        <f>IF($C362="","",IFERROR(VLOOKUP($C362,'2_Control_de_Stock'!$A$11:$N$210,3,0),""))</f>
        <v/>
      </c>
    </row>
    <row r="363">
      <c r="A363" s="21" t="n"/>
      <c r="B363" s="22" t="n"/>
      <c r="C363" s="22" t="n"/>
      <c r="D363" s="35">
        <f>IF($C363="","",IFERROR(VLOOKUP($C363,'2_Control_de_Stock'!$A$11:$N$210,2,0),"⚠️ SKU no existe"))</f>
        <v/>
      </c>
      <c r="E363" s="24" t="n"/>
      <c r="F363" s="33">
        <f>IF($C363="","",IFERROR(VLOOKUP($C363,'2_Control_de_Stock'!$A$11:$N$210,11,0),0))</f>
        <v/>
      </c>
      <c r="G363" s="26">
        <f>IF(OR($C363="",$E363=""),"",$E363*$F363)</f>
        <v/>
      </c>
      <c r="H363" s="22" t="n"/>
      <c r="I363" s="33">
        <f>IF($C363="","",IFERROR($E363*VLOOKUP($C363,'2_Control_de_Stock'!$A$11:$N$210,10,0),0))</f>
        <v/>
      </c>
      <c r="J363" s="36">
        <f>IF($G363="","",$G363-$I363)</f>
        <v/>
      </c>
      <c r="K363" s="37">
        <f>IF($C363="","",IFERROR(VLOOKUP($C363,'2_Control_de_Stock'!$A$11:$N$210,3,0),""))</f>
        <v/>
      </c>
    </row>
    <row r="364">
      <c r="A364" s="21" t="n"/>
      <c r="B364" s="22" t="n"/>
      <c r="C364" s="22" t="n"/>
      <c r="D364" s="35">
        <f>IF($C364="","",IFERROR(VLOOKUP($C364,'2_Control_de_Stock'!$A$11:$N$210,2,0),"⚠️ SKU no existe"))</f>
        <v/>
      </c>
      <c r="E364" s="24" t="n"/>
      <c r="F364" s="33">
        <f>IF($C364="","",IFERROR(VLOOKUP($C364,'2_Control_de_Stock'!$A$11:$N$210,11,0),0))</f>
        <v/>
      </c>
      <c r="G364" s="26">
        <f>IF(OR($C364="",$E364=""),"",$E364*$F364)</f>
        <v/>
      </c>
      <c r="H364" s="22" t="n"/>
      <c r="I364" s="33">
        <f>IF($C364="","",IFERROR($E364*VLOOKUP($C364,'2_Control_de_Stock'!$A$11:$N$210,10,0),0))</f>
        <v/>
      </c>
      <c r="J364" s="36">
        <f>IF($G364="","",$G364-$I364)</f>
        <v/>
      </c>
      <c r="K364" s="37">
        <f>IF($C364="","",IFERROR(VLOOKUP($C364,'2_Control_de_Stock'!$A$11:$N$210,3,0),""))</f>
        <v/>
      </c>
    </row>
    <row r="365">
      <c r="A365" s="21" t="n"/>
      <c r="B365" s="22" t="n"/>
      <c r="C365" s="22" t="n"/>
      <c r="D365" s="35">
        <f>IF($C365="","",IFERROR(VLOOKUP($C365,'2_Control_de_Stock'!$A$11:$N$210,2,0),"⚠️ SKU no existe"))</f>
        <v/>
      </c>
      <c r="E365" s="24" t="n"/>
      <c r="F365" s="33">
        <f>IF($C365="","",IFERROR(VLOOKUP($C365,'2_Control_de_Stock'!$A$11:$N$210,11,0),0))</f>
        <v/>
      </c>
      <c r="G365" s="26">
        <f>IF(OR($C365="",$E365=""),"",$E365*$F365)</f>
        <v/>
      </c>
      <c r="H365" s="22" t="n"/>
      <c r="I365" s="33">
        <f>IF($C365="","",IFERROR($E365*VLOOKUP($C365,'2_Control_de_Stock'!$A$11:$N$210,10,0),0))</f>
        <v/>
      </c>
      <c r="J365" s="36">
        <f>IF($G365="","",$G365-$I365)</f>
        <v/>
      </c>
      <c r="K365" s="37">
        <f>IF($C365="","",IFERROR(VLOOKUP($C365,'2_Control_de_Stock'!$A$11:$N$210,3,0),""))</f>
        <v/>
      </c>
    </row>
    <row r="366">
      <c r="A366" s="21" t="n"/>
      <c r="B366" s="22" t="n"/>
      <c r="C366" s="22" t="n"/>
      <c r="D366" s="35">
        <f>IF($C366="","",IFERROR(VLOOKUP($C366,'2_Control_de_Stock'!$A$11:$N$210,2,0),"⚠️ SKU no existe"))</f>
        <v/>
      </c>
      <c r="E366" s="24" t="n"/>
      <c r="F366" s="33">
        <f>IF($C366="","",IFERROR(VLOOKUP($C366,'2_Control_de_Stock'!$A$11:$N$210,11,0),0))</f>
        <v/>
      </c>
      <c r="G366" s="26">
        <f>IF(OR($C366="",$E366=""),"",$E366*$F366)</f>
        <v/>
      </c>
      <c r="H366" s="22" t="n"/>
      <c r="I366" s="33">
        <f>IF($C366="","",IFERROR($E366*VLOOKUP($C366,'2_Control_de_Stock'!$A$11:$N$210,10,0),0))</f>
        <v/>
      </c>
      <c r="J366" s="36">
        <f>IF($G366="","",$G366-$I366)</f>
        <v/>
      </c>
      <c r="K366" s="37">
        <f>IF($C366="","",IFERROR(VLOOKUP($C366,'2_Control_de_Stock'!$A$11:$N$210,3,0),""))</f>
        <v/>
      </c>
    </row>
    <row r="367">
      <c r="A367" s="21" t="n"/>
      <c r="B367" s="22" t="n"/>
      <c r="C367" s="22" t="n"/>
      <c r="D367" s="35">
        <f>IF($C367="","",IFERROR(VLOOKUP($C367,'2_Control_de_Stock'!$A$11:$N$210,2,0),"⚠️ SKU no existe"))</f>
        <v/>
      </c>
      <c r="E367" s="24" t="n"/>
      <c r="F367" s="33">
        <f>IF($C367="","",IFERROR(VLOOKUP($C367,'2_Control_de_Stock'!$A$11:$N$210,11,0),0))</f>
        <v/>
      </c>
      <c r="G367" s="26">
        <f>IF(OR($C367="",$E367=""),"",$E367*$F367)</f>
        <v/>
      </c>
      <c r="H367" s="22" t="n"/>
      <c r="I367" s="33">
        <f>IF($C367="","",IFERROR($E367*VLOOKUP($C367,'2_Control_de_Stock'!$A$11:$N$210,10,0),0))</f>
        <v/>
      </c>
      <c r="J367" s="36">
        <f>IF($G367="","",$G367-$I367)</f>
        <v/>
      </c>
      <c r="K367" s="37">
        <f>IF($C367="","",IFERROR(VLOOKUP($C367,'2_Control_de_Stock'!$A$11:$N$210,3,0),""))</f>
        <v/>
      </c>
    </row>
    <row r="368">
      <c r="A368" s="21" t="n"/>
      <c r="B368" s="22" t="n"/>
      <c r="C368" s="22" t="n"/>
      <c r="D368" s="35">
        <f>IF($C368="","",IFERROR(VLOOKUP($C368,'2_Control_de_Stock'!$A$11:$N$210,2,0),"⚠️ SKU no existe"))</f>
        <v/>
      </c>
      <c r="E368" s="24" t="n"/>
      <c r="F368" s="33">
        <f>IF($C368="","",IFERROR(VLOOKUP($C368,'2_Control_de_Stock'!$A$11:$N$210,11,0),0))</f>
        <v/>
      </c>
      <c r="G368" s="26">
        <f>IF(OR($C368="",$E368=""),"",$E368*$F368)</f>
        <v/>
      </c>
      <c r="H368" s="22" t="n"/>
      <c r="I368" s="33">
        <f>IF($C368="","",IFERROR($E368*VLOOKUP($C368,'2_Control_de_Stock'!$A$11:$N$210,10,0),0))</f>
        <v/>
      </c>
      <c r="J368" s="36">
        <f>IF($G368="","",$G368-$I368)</f>
        <v/>
      </c>
      <c r="K368" s="37">
        <f>IF($C368="","",IFERROR(VLOOKUP($C368,'2_Control_de_Stock'!$A$11:$N$210,3,0),""))</f>
        <v/>
      </c>
    </row>
    <row r="369">
      <c r="A369" s="21" t="n"/>
      <c r="B369" s="22" t="n"/>
      <c r="C369" s="22" t="n"/>
      <c r="D369" s="35">
        <f>IF($C369="","",IFERROR(VLOOKUP($C369,'2_Control_de_Stock'!$A$11:$N$210,2,0),"⚠️ SKU no existe"))</f>
        <v/>
      </c>
      <c r="E369" s="24" t="n"/>
      <c r="F369" s="33">
        <f>IF($C369="","",IFERROR(VLOOKUP($C369,'2_Control_de_Stock'!$A$11:$N$210,11,0),0))</f>
        <v/>
      </c>
      <c r="G369" s="26">
        <f>IF(OR($C369="",$E369=""),"",$E369*$F369)</f>
        <v/>
      </c>
      <c r="H369" s="22" t="n"/>
      <c r="I369" s="33">
        <f>IF($C369="","",IFERROR($E369*VLOOKUP($C369,'2_Control_de_Stock'!$A$11:$N$210,10,0),0))</f>
        <v/>
      </c>
      <c r="J369" s="36">
        <f>IF($G369="","",$G369-$I369)</f>
        <v/>
      </c>
      <c r="K369" s="37">
        <f>IF($C369="","",IFERROR(VLOOKUP($C369,'2_Control_de_Stock'!$A$11:$N$210,3,0),""))</f>
        <v/>
      </c>
    </row>
    <row r="370">
      <c r="A370" s="21" t="n"/>
      <c r="B370" s="22" t="n"/>
      <c r="C370" s="22" t="n"/>
      <c r="D370" s="35">
        <f>IF($C370="","",IFERROR(VLOOKUP($C370,'2_Control_de_Stock'!$A$11:$N$210,2,0),"⚠️ SKU no existe"))</f>
        <v/>
      </c>
      <c r="E370" s="24" t="n"/>
      <c r="F370" s="33">
        <f>IF($C370="","",IFERROR(VLOOKUP($C370,'2_Control_de_Stock'!$A$11:$N$210,11,0),0))</f>
        <v/>
      </c>
      <c r="G370" s="26">
        <f>IF(OR($C370="",$E370=""),"",$E370*$F370)</f>
        <v/>
      </c>
      <c r="H370" s="22" t="n"/>
      <c r="I370" s="33">
        <f>IF($C370="","",IFERROR($E370*VLOOKUP($C370,'2_Control_de_Stock'!$A$11:$N$210,10,0),0))</f>
        <v/>
      </c>
      <c r="J370" s="36">
        <f>IF($G370="","",$G370-$I370)</f>
        <v/>
      </c>
      <c r="K370" s="37">
        <f>IF($C370="","",IFERROR(VLOOKUP($C370,'2_Control_de_Stock'!$A$11:$N$210,3,0),""))</f>
        <v/>
      </c>
    </row>
    <row r="371">
      <c r="A371" s="21" t="n"/>
      <c r="B371" s="22" t="n"/>
      <c r="C371" s="22" t="n"/>
      <c r="D371" s="35">
        <f>IF($C371="","",IFERROR(VLOOKUP($C371,'2_Control_de_Stock'!$A$11:$N$210,2,0),"⚠️ SKU no existe"))</f>
        <v/>
      </c>
      <c r="E371" s="24" t="n"/>
      <c r="F371" s="33">
        <f>IF($C371="","",IFERROR(VLOOKUP($C371,'2_Control_de_Stock'!$A$11:$N$210,11,0),0))</f>
        <v/>
      </c>
      <c r="G371" s="26">
        <f>IF(OR($C371="",$E371=""),"",$E371*$F371)</f>
        <v/>
      </c>
      <c r="H371" s="22" t="n"/>
      <c r="I371" s="33">
        <f>IF($C371="","",IFERROR($E371*VLOOKUP($C371,'2_Control_de_Stock'!$A$11:$N$210,10,0),0))</f>
        <v/>
      </c>
      <c r="J371" s="36">
        <f>IF($G371="","",$G371-$I371)</f>
        <v/>
      </c>
      <c r="K371" s="37">
        <f>IF($C371="","",IFERROR(VLOOKUP($C371,'2_Control_de_Stock'!$A$11:$N$210,3,0),""))</f>
        <v/>
      </c>
    </row>
    <row r="372">
      <c r="A372" s="21" t="n"/>
      <c r="B372" s="22" t="n"/>
      <c r="C372" s="22" t="n"/>
      <c r="D372" s="35">
        <f>IF($C372="","",IFERROR(VLOOKUP($C372,'2_Control_de_Stock'!$A$11:$N$210,2,0),"⚠️ SKU no existe"))</f>
        <v/>
      </c>
      <c r="E372" s="24" t="n"/>
      <c r="F372" s="33">
        <f>IF($C372="","",IFERROR(VLOOKUP($C372,'2_Control_de_Stock'!$A$11:$N$210,11,0),0))</f>
        <v/>
      </c>
      <c r="G372" s="26">
        <f>IF(OR($C372="",$E372=""),"",$E372*$F372)</f>
        <v/>
      </c>
      <c r="H372" s="22" t="n"/>
      <c r="I372" s="33">
        <f>IF($C372="","",IFERROR($E372*VLOOKUP($C372,'2_Control_de_Stock'!$A$11:$N$210,10,0),0))</f>
        <v/>
      </c>
      <c r="J372" s="36">
        <f>IF($G372="","",$G372-$I372)</f>
        <v/>
      </c>
      <c r="K372" s="37">
        <f>IF($C372="","",IFERROR(VLOOKUP($C372,'2_Control_de_Stock'!$A$11:$N$210,3,0),""))</f>
        <v/>
      </c>
    </row>
    <row r="373">
      <c r="A373" s="21" t="n"/>
      <c r="B373" s="22" t="n"/>
      <c r="C373" s="22" t="n"/>
      <c r="D373" s="35">
        <f>IF($C373="","",IFERROR(VLOOKUP($C373,'2_Control_de_Stock'!$A$11:$N$210,2,0),"⚠️ SKU no existe"))</f>
        <v/>
      </c>
      <c r="E373" s="24" t="n"/>
      <c r="F373" s="33">
        <f>IF($C373="","",IFERROR(VLOOKUP($C373,'2_Control_de_Stock'!$A$11:$N$210,11,0),0))</f>
        <v/>
      </c>
      <c r="G373" s="26">
        <f>IF(OR($C373="",$E373=""),"",$E373*$F373)</f>
        <v/>
      </c>
      <c r="H373" s="22" t="n"/>
      <c r="I373" s="33">
        <f>IF($C373="","",IFERROR($E373*VLOOKUP($C373,'2_Control_de_Stock'!$A$11:$N$210,10,0),0))</f>
        <v/>
      </c>
      <c r="J373" s="36">
        <f>IF($G373="","",$G373-$I373)</f>
        <v/>
      </c>
      <c r="K373" s="37">
        <f>IF($C373="","",IFERROR(VLOOKUP($C373,'2_Control_de_Stock'!$A$11:$N$210,3,0),""))</f>
        <v/>
      </c>
    </row>
    <row r="374">
      <c r="A374" s="21" t="n"/>
      <c r="B374" s="22" t="n"/>
      <c r="C374" s="22" t="n"/>
      <c r="D374" s="35">
        <f>IF($C374="","",IFERROR(VLOOKUP($C374,'2_Control_de_Stock'!$A$11:$N$210,2,0),"⚠️ SKU no existe"))</f>
        <v/>
      </c>
      <c r="E374" s="24" t="n"/>
      <c r="F374" s="33">
        <f>IF($C374="","",IFERROR(VLOOKUP($C374,'2_Control_de_Stock'!$A$11:$N$210,11,0),0))</f>
        <v/>
      </c>
      <c r="G374" s="26">
        <f>IF(OR($C374="",$E374=""),"",$E374*$F374)</f>
        <v/>
      </c>
      <c r="H374" s="22" t="n"/>
      <c r="I374" s="33">
        <f>IF($C374="","",IFERROR($E374*VLOOKUP($C374,'2_Control_de_Stock'!$A$11:$N$210,10,0),0))</f>
        <v/>
      </c>
      <c r="J374" s="36">
        <f>IF($G374="","",$G374-$I374)</f>
        <v/>
      </c>
      <c r="K374" s="37">
        <f>IF($C374="","",IFERROR(VLOOKUP($C374,'2_Control_de_Stock'!$A$11:$N$210,3,0),""))</f>
        <v/>
      </c>
    </row>
    <row r="375">
      <c r="A375" s="21" t="n"/>
      <c r="B375" s="22" t="n"/>
      <c r="C375" s="22" t="n"/>
      <c r="D375" s="35">
        <f>IF($C375="","",IFERROR(VLOOKUP($C375,'2_Control_de_Stock'!$A$11:$N$210,2,0),"⚠️ SKU no existe"))</f>
        <v/>
      </c>
      <c r="E375" s="24" t="n"/>
      <c r="F375" s="33">
        <f>IF($C375="","",IFERROR(VLOOKUP($C375,'2_Control_de_Stock'!$A$11:$N$210,11,0),0))</f>
        <v/>
      </c>
      <c r="G375" s="26">
        <f>IF(OR($C375="",$E375=""),"",$E375*$F375)</f>
        <v/>
      </c>
      <c r="H375" s="22" t="n"/>
      <c r="I375" s="33">
        <f>IF($C375="","",IFERROR($E375*VLOOKUP($C375,'2_Control_de_Stock'!$A$11:$N$210,10,0),0))</f>
        <v/>
      </c>
      <c r="J375" s="36">
        <f>IF($G375="","",$G375-$I375)</f>
        <v/>
      </c>
      <c r="K375" s="37">
        <f>IF($C375="","",IFERROR(VLOOKUP($C375,'2_Control_de_Stock'!$A$11:$N$210,3,0),""))</f>
        <v/>
      </c>
    </row>
    <row r="376">
      <c r="A376" s="21" t="n"/>
      <c r="B376" s="22" t="n"/>
      <c r="C376" s="22" t="n"/>
      <c r="D376" s="35">
        <f>IF($C376="","",IFERROR(VLOOKUP($C376,'2_Control_de_Stock'!$A$11:$N$210,2,0),"⚠️ SKU no existe"))</f>
        <v/>
      </c>
      <c r="E376" s="24" t="n"/>
      <c r="F376" s="33">
        <f>IF($C376="","",IFERROR(VLOOKUP($C376,'2_Control_de_Stock'!$A$11:$N$210,11,0),0))</f>
        <v/>
      </c>
      <c r="G376" s="26">
        <f>IF(OR($C376="",$E376=""),"",$E376*$F376)</f>
        <v/>
      </c>
      <c r="H376" s="22" t="n"/>
      <c r="I376" s="33">
        <f>IF($C376="","",IFERROR($E376*VLOOKUP($C376,'2_Control_de_Stock'!$A$11:$N$210,10,0),0))</f>
        <v/>
      </c>
      <c r="J376" s="36">
        <f>IF($G376="","",$G376-$I376)</f>
        <v/>
      </c>
      <c r="K376" s="37">
        <f>IF($C376="","",IFERROR(VLOOKUP($C376,'2_Control_de_Stock'!$A$11:$N$210,3,0),""))</f>
        <v/>
      </c>
    </row>
    <row r="377">
      <c r="A377" s="21" t="n"/>
      <c r="B377" s="22" t="n"/>
      <c r="C377" s="22" t="n"/>
      <c r="D377" s="35">
        <f>IF($C377="","",IFERROR(VLOOKUP($C377,'2_Control_de_Stock'!$A$11:$N$210,2,0),"⚠️ SKU no existe"))</f>
        <v/>
      </c>
      <c r="E377" s="24" t="n"/>
      <c r="F377" s="33">
        <f>IF($C377="","",IFERROR(VLOOKUP($C377,'2_Control_de_Stock'!$A$11:$N$210,11,0),0))</f>
        <v/>
      </c>
      <c r="G377" s="26">
        <f>IF(OR($C377="",$E377=""),"",$E377*$F377)</f>
        <v/>
      </c>
      <c r="H377" s="22" t="n"/>
      <c r="I377" s="33">
        <f>IF($C377="","",IFERROR($E377*VLOOKUP($C377,'2_Control_de_Stock'!$A$11:$N$210,10,0),0))</f>
        <v/>
      </c>
      <c r="J377" s="36">
        <f>IF($G377="","",$G377-$I377)</f>
        <v/>
      </c>
      <c r="K377" s="37">
        <f>IF($C377="","",IFERROR(VLOOKUP($C377,'2_Control_de_Stock'!$A$11:$N$210,3,0),""))</f>
        <v/>
      </c>
    </row>
    <row r="378">
      <c r="A378" s="21" t="n"/>
      <c r="B378" s="22" t="n"/>
      <c r="C378" s="22" t="n"/>
      <c r="D378" s="35">
        <f>IF($C378="","",IFERROR(VLOOKUP($C378,'2_Control_de_Stock'!$A$11:$N$210,2,0),"⚠️ SKU no existe"))</f>
        <v/>
      </c>
      <c r="E378" s="24" t="n"/>
      <c r="F378" s="33">
        <f>IF($C378="","",IFERROR(VLOOKUP($C378,'2_Control_de_Stock'!$A$11:$N$210,11,0),0))</f>
        <v/>
      </c>
      <c r="G378" s="26">
        <f>IF(OR($C378="",$E378=""),"",$E378*$F378)</f>
        <v/>
      </c>
      <c r="H378" s="22" t="n"/>
      <c r="I378" s="33">
        <f>IF($C378="","",IFERROR($E378*VLOOKUP($C378,'2_Control_de_Stock'!$A$11:$N$210,10,0),0))</f>
        <v/>
      </c>
      <c r="J378" s="36">
        <f>IF($G378="","",$G378-$I378)</f>
        <v/>
      </c>
      <c r="K378" s="37">
        <f>IF($C378="","",IFERROR(VLOOKUP($C378,'2_Control_de_Stock'!$A$11:$N$210,3,0),""))</f>
        <v/>
      </c>
    </row>
    <row r="379">
      <c r="A379" s="21" t="n"/>
      <c r="B379" s="22" t="n"/>
      <c r="C379" s="22" t="n"/>
      <c r="D379" s="35">
        <f>IF($C379="","",IFERROR(VLOOKUP($C379,'2_Control_de_Stock'!$A$11:$N$210,2,0),"⚠️ SKU no existe"))</f>
        <v/>
      </c>
      <c r="E379" s="24" t="n"/>
      <c r="F379" s="33">
        <f>IF($C379="","",IFERROR(VLOOKUP($C379,'2_Control_de_Stock'!$A$11:$N$210,11,0),0))</f>
        <v/>
      </c>
      <c r="G379" s="26">
        <f>IF(OR($C379="",$E379=""),"",$E379*$F379)</f>
        <v/>
      </c>
      <c r="H379" s="22" t="n"/>
      <c r="I379" s="33">
        <f>IF($C379="","",IFERROR($E379*VLOOKUP($C379,'2_Control_de_Stock'!$A$11:$N$210,10,0),0))</f>
        <v/>
      </c>
      <c r="J379" s="36">
        <f>IF($G379="","",$G379-$I379)</f>
        <v/>
      </c>
      <c r="K379" s="37">
        <f>IF($C379="","",IFERROR(VLOOKUP($C379,'2_Control_de_Stock'!$A$11:$N$210,3,0),""))</f>
        <v/>
      </c>
    </row>
    <row r="380">
      <c r="A380" s="21" t="n"/>
      <c r="B380" s="22" t="n"/>
      <c r="C380" s="22" t="n"/>
      <c r="D380" s="35">
        <f>IF($C380="","",IFERROR(VLOOKUP($C380,'2_Control_de_Stock'!$A$11:$N$210,2,0),"⚠️ SKU no existe"))</f>
        <v/>
      </c>
      <c r="E380" s="24" t="n"/>
      <c r="F380" s="33">
        <f>IF($C380="","",IFERROR(VLOOKUP($C380,'2_Control_de_Stock'!$A$11:$N$210,11,0),0))</f>
        <v/>
      </c>
      <c r="G380" s="26">
        <f>IF(OR($C380="",$E380=""),"",$E380*$F380)</f>
        <v/>
      </c>
      <c r="H380" s="22" t="n"/>
      <c r="I380" s="33">
        <f>IF($C380="","",IFERROR($E380*VLOOKUP($C380,'2_Control_de_Stock'!$A$11:$N$210,10,0),0))</f>
        <v/>
      </c>
      <c r="J380" s="36">
        <f>IF($G380="","",$G380-$I380)</f>
        <v/>
      </c>
      <c r="K380" s="37">
        <f>IF($C380="","",IFERROR(VLOOKUP($C380,'2_Control_de_Stock'!$A$11:$N$210,3,0),""))</f>
        <v/>
      </c>
    </row>
    <row r="381">
      <c r="A381" s="21" t="n"/>
      <c r="B381" s="22" t="n"/>
      <c r="C381" s="22" t="n"/>
      <c r="D381" s="35">
        <f>IF($C381="","",IFERROR(VLOOKUP($C381,'2_Control_de_Stock'!$A$11:$N$210,2,0),"⚠️ SKU no existe"))</f>
        <v/>
      </c>
      <c r="E381" s="24" t="n"/>
      <c r="F381" s="33">
        <f>IF($C381="","",IFERROR(VLOOKUP($C381,'2_Control_de_Stock'!$A$11:$N$210,11,0),0))</f>
        <v/>
      </c>
      <c r="G381" s="26">
        <f>IF(OR($C381="",$E381=""),"",$E381*$F381)</f>
        <v/>
      </c>
      <c r="H381" s="22" t="n"/>
      <c r="I381" s="33">
        <f>IF($C381="","",IFERROR($E381*VLOOKUP($C381,'2_Control_de_Stock'!$A$11:$N$210,10,0),0))</f>
        <v/>
      </c>
      <c r="J381" s="36">
        <f>IF($G381="","",$G381-$I381)</f>
        <v/>
      </c>
      <c r="K381" s="37">
        <f>IF($C381="","",IFERROR(VLOOKUP($C381,'2_Control_de_Stock'!$A$11:$N$210,3,0),""))</f>
        <v/>
      </c>
    </row>
    <row r="382">
      <c r="A382" s="21" t="n"/>
      <c r="B382" s="22" t="n"/>
      <c r="C382" s="22" t="n"/>
      <c r="D382" s="35">
        <f>IF($C382="","",IFERROR(VLOOKUP($C382,'2_Control_de_Stock'!$A$11:$N$210,2,0),"⚠️ SKU no existe"))</f>
        <v/>
      </c>
      <c r="E382" s="24" t="n"/>
      <c r="F382" s="33">
        <f>IF($C382="","",IFERROR(VLOOKUP($C382,'2_Control_de_Stock'!$A$11:$N$210,11,0),0))</f>
        <v/>
      </c>
      <c r="G382" s="26">
        <f>IF(OR($C382="",$E382=""),"",$E382*$F382)</f>
        <v/>
      </c>
      <c r="H382" s="22" t="n"/>
      <c r="I382" s="33">
        <f>IF($C382="","",IFERROR($E382*VLOOKUP($C382,'2_Control_de_Stock'!$A$11:$N$210,10,0),0))</f>
        <v/>
      </c>
      <c r="J382" s="36">
        <f>IF($G382="","",$G382-$I382)</f>
        <v/>
      </c>
      <c r="K382" s="37">
        <f>IF($C382="","",IFERROR(VLOOKUP($C382,'2_Control_de_Stock'!$A$11:$N$210,3,0),""))</f>
        <v/>
      </c>
    </row>
    <row r="383">
      <c r="A383" s="21" t="n"/>
      <c r="B383" s="22" t="n"/>
      <c r="C383" s="22" t="n"/>
      <c r="D383" s="35">
        <f>IF($C383="","",IFERROR(VLOOKUP($C383,'2_Control_de_Stock'!$A$11:$N$210,2,0),"⚠️ SKU no existe"))</f>
        <v/>
      </c>
      <c r="E383" s="24" t="n"/>
      <c r="F383" s="33">
        <f>IF($C383="","",IFERROR(VLOOKUP($C383,'2_Control_de_Stock'!$A$11:$N$210,11,0),0))</f>
        <v/>
      </c>
      <c r="G383" s="26">
        <f>IF(OR($C383="",$E383=""),"",$E383*$F383)</f>
        <v/>
      </c>
      <c r="H383" s="22" t="n"/>
      <c r="I383" s="33">
        <f>IF($C383="","",IFERROR($E383*VLOOKUP($C383,'2_Control_de_Stock'!$A$11:$N$210,10,0),0))</f>
        <v/>
      </c>
      <c r="J383" s="36">
        <f>IF($G383="","",$G383-$I383)</f>
        <v/>
      </c>
      <c r="K383" s="37">
        <f>IF($C383="","",IFERROR(VLOOKUP($C383,'2_Control_de_Stock'!$A$11:$N$210,3,0),""))</f>
        <v/>
      </c>
    </row>
    <row r="384">
      <c r="A384" s="21" t="n"/>
      <c r="B384" s="22" t="n"/>
      <c r="C384" s="22" t="n"/>
      <c r="D384" s="35">
        <f>IF($C384="","",IFERROR(VLOOKUP($C384,'2_Control_de_Stock'!$A$11:$N$210,2,0),"⚠️ SKU no existe"))</f>
        <v/>
      </c>
      <c r="E384" s="24" t="n"/>
      <c r="F384" s="33">
        <f>IF($C384="","",IFERROR(VLOOKUP($C384,'2_Control_de_Stock'!$A$11:$N$210,11,0),0))</f>
        <v/>
      </c>
      <c r="G384" s="26">
        <f>IF(OR($C384="",$E384=""),"",$E384*$F384)</f>
        <v/>
      </c>
      <c r="H384" s="22" t="n"/>
      <c r="I384" s="33">
        <f>IF($C384="","",IFERROR($E384*VLOOKUP($C384,'2_Control_de_Stock'!$A$11:$N$210,10,0),0))</f>
        <v/>
      </c>
      <c r="J384" s="36">
        <f>IF($G384="","",$G384-$I384)</f>
        <v/>
      </c>
      <c r="K384" s="37">
        <f>IF($C384="","",IFERROR(VLOOKUP($C384,'2_Control_de_Stock'!$A$11:$N$210,3,0),""))</f>
        <v/>
      </c>
    </row>
    <row r="385">
      <c r="A385" s="21" t="n"/>
      <c r="B385" s="22" t="n"/>
      <c r="C385" s="22" t="n"/>
      <c r="D385" s="35">
        <f>IF($C385="","",IFERROR(VLOOKUP($C385,'2_Control_de_Stock'!$A$11:$N$210,2,0),"⚠️ SKU no existe"))</f>
        <v/>
      </c>
      <c r="E385" s="24" t="n"/>
      <c r="F385" s="33">
        <f>IF($C385="","",IFERROR(VLOOKUP($C385,'2_Control_de_Stock'!$A$11:$N$210,11,0),0))</f>
        <v/>
      </c>
      <c r="G385" s="26">
        <f>IF(OR($C385="",$E385=""),"",$E385*$F385)</f>
        <v/>
      </c>
      <c r="H385" s="22" t="n"/>
      <c r="I385" s="33">
        <f>IF($C385="","",IFERROR($E385*VLOOKUP($C385,'2_Control_de_Stock'!$A$11:$N$210,10,0),0))</f>
        <v/>
      </c>
      <c r="J385" s="36">
        <f>IF($G385="","",$G385-$I385)</f>
        <v/>
      </c>
      <c r="K385" s="37">
        <f>IF($C385="","",IFERROR(VLOOKUP($C385,'2_Control_de_Stock'!$A$11:$N$210,3,0),""))</f>
        <v/>
      </c>
    </row>
    <row r="386">
      <c r="A386" s="21" t="n"/>
      <c r="B386" s="22" t="n"/>
      <c r="C386" s="22" t="n"/>
      <c r="D386" s="35">
        <f>IF($C386="","",IFERROR(VLOOKUP($C386,'2_Control_de_Stock'!$A$11:$N$210,2,0),"⚠️ SKU no existe"))</f>
        <v/>
      </c>
      <c r="E386" s="24" t="n"/>
      <c r="F386" s="33">
        <f>IF($C386="","",IFERROR(VLOOKUP($C386,'2_Control_de_Stock'!$A$11:$N$210,11,0),0))</f>
        <v/>
      </c>
      <c r="G386" s="26">
        <f>IF(OR($C386="",$E386=""),"",$E386*$F386)</f>
        <v/>
      </c>
      <c r="H386" s="22" t="n"/>
      <c r="I386" s="33">
        <f>IF($C386="","",IFERROR($E386*VLOOKUP($C386,'2_Control_de_Stock'!$A$11:$N$210,10,0),0))</f>
        <v/>
      </c>
      <c r="J386" s="36">
        <f>IF($G386="","",$G386-$I386)</f>
        <v/>
      </c>
      <c r="K386" s="37">
        <f>IF($C386="","",IFERROR(VLOOKUP($C386,'2_Control_de_Stock'!$A$11:$N$210,3,0),""))</f>
        <v/>
      </c>
    </row>
    <row r="387">
      <c r="A387" s="21" t="n"/>
      <c r="B387" s="22" t="n"/>
      <c r="C387" s="22" t="n"/>
      <c r="D387" s="35">
        <f>IF($C387="","",IFERROR(VLOOKUP($C387,'2_Control_de_Stock'!$A$11:$N$210,2,0),"⚠️ SKU no existe"))</f>
        <v/>
      </c>
      <c r="E387" s="24" t="n"/>
      <c r="F387" s="33">
        <f>IF($C387="","",IFERROR(VLOOKUP($C387,'2_Control_de_Stock'!$A$11:$N$210,11,0),0))</f>
        <v/>
      </c>
      <c r="G387" s="26">
        <f>IF(OR($C387="",$E387=""),"",$E387*$F387)</f>
        <v/>
      </c>
      <c r="H387" s="22" t="n"/>
      <c r="I387" s="33">
        <f>IF($C387="","",IFERROR($E387*VLOOKUP($C387,'2_Control_de_Stock'!$A$11:$N$210,10,0),0))</f>
        <v/>
      </c>
      <c r="J387" s="36">
        <f>IF($G387="","",$G387-$I387)</f>
        <v/>
      </c>
      <c r="K387" s="37">
        <f>IF($C387="","",IFERROR(VLOOKUP($C387,'2_Control_de_Stock'!$A$11:$N$210,3,0),""))</f>
        <v/>
      </c>
    </row>
    <row r="388">
      <c r="A388" s="21" t="n"/>
      <c r="B388" s="22" t="n"/>
      <c r="C388" s="22" t="n"/>
      <c r="D388" s="35">
        <f>IF($C388="","",IFERROR(VLOOKUP($C388,'2_Control_de_Stock'!$A$11:$N$210,2,0),"⚠️ SKU no existe"))</f>
        <v/>
      </c>
      <c r="E388" s="24" t="n"/>
      <c r="F388" s="33">
        <f>IF($C388="","",IFERROR(VLOOKUP($C388,'2_Control_de_Stock'!$A$11:$N$210,11,0),0))</f>
        <v/>
      </c>
      <c r="G388" s="26">
        <f>IF(OR($C388="",$E388=""),"",$E388*$F388)</f>
        <v/>
      </c>
      <c r="H388" s="22" t="n"/>
      <c r="I388" s="33">
        <f>IF($C388="","",IFERROR($E388*VLOOKUP($C388,'2_Control_de_Stock'!$A$11:$N$210,10,0),0))</f>
        <v/>
      </c>
      <c r="J388" s="36">
        <f>IF($G388="","",$G388-$I388)</f>
        <v/>
      </c>
      <c r="K388" s="37">
        <f>IF($C388="","",IFERROR(VLOOKUP($C388,'2_Control_de_Stock'!$A$11:$N$210,3,0),""))</f>
        <v/>
      </c>
    </row>
    <row r="389">
      <c r="A389" s="21" t="n"/>
      <c r="B389" s="22" t="n"/>
      <c r="C389" s="22" t="n"/>
      <c r="D389" s="35">
        <f>IF($C389="","",IFERROR(VLOOKUP($C389,'2_Control_de_Stock'!$A$11:$N$210,2,0),"⚠️ SKU no existe"))</f>
        <v/>
      </c>
      <c r="E389" s="24" t="n"/>
      <c r="F389" s="33">
        <f>IF($C389="","",IFERROR(VLOOKUP($C389,'2_Control_de_Stock'!$A$11:$N$210,11,0),0))</f>
        <v/>
      </c>
      <c r="G389" s="26">
        <f>IF(OR($C389="",$E389=""),"",$E389*$F389)</f>
        <v/>
      </c>
      <c r="H389" s="22" t="n"/>
      <c r="I389" s="33">
        <f>IF($C389="","",IFERROR($E389*VLOOKUP($C389,'2_Control_de_Stock'!$A$11:$N$210,10,0),0))</f>
        <v/>
      </c>
      <c r="J389" s="36">
        <f>IF($G389="","",$G389-$I389)</f>
        <v/>
      </c>
      <c r="K389" s="37">
        <f>IF($C389="","",IFERROR(VLOOKUP($C389,'2_Control_de_Stock'!$A$11:$N$210,3,0),""))</f>
        <v/>
      </c>
    </row>
    <row r="390">
      <c r="A390" s="21" t="n"/>
      <c r="B390" s="22" t="n"/>
      <c r="C390" s="22" t="n"/>
      <c r="D390" s="35">
        <f>IF($C390="","",IFERROR(VLOOKUP($C390,'2_Control_de_Stock'!$A$11:$N$210,2,0),"⚠️ SKU no existe"))</f>
        <v/>
      </c>
      <c r="E390" s="24" t="n"/>
      <c r="F390" s="33">
        <f>IF($C390="","",IFERROR(VLOOKUP($C390,'2_Control_de_Stock'!$A$11:$N$210,11,0),0))</f>
        <v/>
      </c>
      <c r="G390" s="26">
        <f>IF(OR($C390="",$E390=""),"",$E390*$F390)</f>
        <v/>
      </c>
      <c r="H390" s="22" t="n"/>
      <c r="I390" s="33">
        <f>IF($C390="","",IFERROR($E390*VLOOKUP($C390,'2_Control_de_Stock'!$A$11:$N$210,10,0),0))</f>
        <v/>
      </c>
      <c r="J390" s="36">
        <f>IF($G390="","",$G390-$I390)</f>
        <v/>
      </c>
      <c r="K390" s="37">
        <f>IF($C390="","",IFERROR(VLOOKUP($C390,'2_Control_de_Stock'!$A$11:$N$210,3,0),""))</f>
        <v/>
      </c>
    </row>
    <row r="391">
      <c r="A391" s="21" t="n"/>
      <c r="B391" s="22" t="n"/>
      <c r="C391" s="22" t="n"/>
      <c r="D391" s="35">
        <f>IF($C391="","",IFERROR(VLOOKUP($C391,'2_Control_de_Stock'!$A$11:$N$210,2,0),"⚠️ SKU no existe"))</f>
        <v/>
      </c>
      <c r="E391" s="24" t="n"/>
      <c r="F391" s="33">
        <f>IF($C391="","",IFERROR(VLOOKUP($C391,'2_Control_de_Stock'!$A$11:$N$210,11,0),0))</f>
        <v/>
      </c>
      <c r="G391" s="26">
        <f>IF(OR($C391="",$E391=""),"",$E391*$F391)</f>
        <v/>
      </c>
      <c r="H391" s="22" t="n"/>
      <c r="I391" s="33">
        <f>IF($C391="","",IFERROR($E391*VLOOKUP($C391,'2_Control_de_Stock'!$A$11:$N$210,10,0),0))</f>
        <v/>
      </c>
      <c r="J391" s="36">
        <f>IF($G391="","",$G391-$I391)</f>
        <v/>
      </c>
      <c r="K391" s="37">
        <f>IF($C391="","",IFERROR(VLOOKUP($C391,'2_Control_de_Stock'!$A$11:$N$210,3,0),""))</f>
        <v/>
      </c>
    </row>
    <row r="392">
      <c r="A392" s="21" t="n"/>
      <c r="B392" s="22" t="n"/>
      <c r="C392" s="22" t="n"/>
      <c r="D392" s="35">
        <f>IF($C392="","",IFERROR(VLOOKUP($C392,'2_Control_de_Stock'!$A$11:$N$210,2,0),"⚠️ SKU no existe"))</f>
        <v/>
      </c>
      <c r="E392" s="24" t="n"/>
      <c r="F392" s="33">
        <f>IF($C392="","",IFERROR(VLOOKUP($C392,'2_Control_de_Stock'!$A$11:$N$210,11,0),0))</f>
        <v/>
      </c>
      <c r="G392" s="26">
        <f>IF(OR($C392="",$E392=""),"",$E392*$F392)</f>
        <v/>
      </c>
      <c r="H392" s="22" t="n"/>
      <c r="I392" s="33">
        <f>IF($C392="","",IFERROR($E392*VLOOKUP($C392,'2_Control_de_Stock'!$A$11:$N$210,10,0),0))</f>
        <v/>
      </c>
      <c r="J392" s="36">
        <f>IF($G392="","",$G392-$I392)</f>
        <v/>
      </c>
      <c r="K392" s="37">
        <f>IF($C392="","",IFERROR(VLOOKUP($C392,'2_Control_de_Stock'!$A$11:$N$210,3,0),""))</f>
        <v/>
      </c>
    </row>
    <row r="393">
      <c r="A393" s="21" t="n"/>
      <c r="B393" s="22" t="n"/>
      <c r="C393" s="22" t="n"/>
      <c r="D393" s="35">
        <f>IF($C393="","",IFERROR(VLOOKUP($C393,'2_Control_de_Stock'!$A$11:$N$210,2,0),"⚠️ SKU no existe"))</f>
        <v/>
      </c>
      <c r="E393" s="24" t="n"/>
      <c r="F393" s="33">
        <f>IF($C393="","",IFERROR(VLOOKUP($C393,'2_Control_de_Stock'!$A$11:$N$210,11,0),0))</f>
        <v/>
      </c>
      <c r="G393" s="26">
        <f>IF(OR($C393="",$E393=""),"",$E393*$F393)</f>
        <v/>
      </c>
      <c r="H393" s="22" t="n"/>
      <c r="I393" s="33">
        <f>IF($C393="","",IFERROR($E393*VLOOKUP($C393,'2_Control_de_Stock'!$A$11:$N$210,10,0),0))</f>
        <v/>
      </c>
      <c r="J393" s="36">
        <f>IF($G393="","",$G393-$I393)</f>
        <v/>
      </c>
      <c r="K393" s="37">
        <f>IF($C393="","",IFERROR(VLOOKUP($C393,'2_Control_de_Stock'!$A$11:$N$210,3,0),""))</f>
        <v/>
      </c>
    </row>
    <row r="394">
      <c r="A394" s="21" t="n"/>
      <c r="B394" s="22" t="n"/>
      <c r="C394" s="22" t="n"/>
      <c r="D394" s="35">
        <f>IF($C394="","",IFERROR(VLOOKUP($C394,'2_Control_de_Stock'!$A$11:$N$210,2,0),"⚠️ SKU no existe"))</f>
        <v/>
      </c>
      <c r="E394" s="24" t="n"/>
      <c r="F394" s="33">
        <f>IF($C394="","",IFERROR(VLOOKUP($C394,'2_Control_de_Stock'!$A$11:$N$210,11,0),0))</f>
        <v/>
      </c>
      <c r="G394" s="26">
        <f>IF(OR($C394="",$E394=""),"",$E394*$F394)</f>
        <v/>
      </c>
      <c r="H394" s="22" t="n"/>
      <c r="I394" s="33">
        <f>IF($C394="","",IFERROR($E394*VLOOKUP($C394,'2_Control_de_Stock'!$A$11:$N$210,10,0),0))</f>
        <v/>
      </c>
      <c r="J394" s="36">
        <f>IF($G394="","",$G394-$I394)</f>
        <v/>
      </c>
      <c r="K394" s="37">
        <f>IF($C394="","",IFERROR(VLOOKUP($C394,'2_Control_de_Stock'!$A$11:$N$210,3,0),""))</f>
        <v/>
      </c>
    </row>
    <row r="395">
      <c r="A395" s="21" t="n"/>
      <c r="B395" s="22" t="n"/>
      <c r="C395" s="22" t="n"/>
      <c r="D395" s="35">
        <f>IF($C395="","",IFERROR(VLOOKUP($C395,'2_Control_de_Stock'!$A$11:$N$210,2,0),"⚠️ SKU no existe"))</f>
        <v/>
      </c>
      <c r="E395" s="24" t="n"/>
      <c r="F395" s="33">
        <f>IF($C395="","",IFERROR(VLOOKUP($C395,'2_Control_de_Stock'!$A$11:$N$210,11,0),0))</f>
        <v/>
      </c>
      <c r="G395" s="26">
        <f>IF(OR($C395="",$E395=""),"",$E395*$F395)</f>
        <v/>
      </c>
      <c r="H395" s="22" t="n"/>
      <c r="I395" s="33">
        <f>IF($C395="","",IFERROR($E395*VLOOKUP($C395,'2_Control_de_Stock'!$A$11:$N$210,10,0),0))</f>
        <v/>
      </c>
      <c r="J395" s="36">
        <f>IF($G395="","",$G395-$I395)</f>
        <v/>
      </c>
      <c r="K395" s="37">
        <f>IF($C395="","",IFERROR(VLOOKUP($C395,'2_Control_de_Stock'!$A$11:$N$210,3,0),""))</f>
        <v/>
      </c>
    </row>
    <row r="396">
      <c r="A396" s="21" t="n"/>
      <c r="B396" s="22" t="n"/>
      <c r="C396" s="22" t="n"/>
      <c r="D396" s="35">
        <f>IF($C396="","",IFERROR(VLOOKUP($C396,'2_Control_de_Stock'!$A$11:$N$210,2,0),"⚠️ SKU no existe"))</f>
        <v/>
      </c>
      <c r="E396" s="24" t="n"/>
      <c r="F396" s="33">
        <f>IF($C396="","",IFERROR(VLOOKUP($C396,'2_Control_de_Stock'!$A$11:$N$210,11,0),0))</f>
        <v/>
      </c>
      <c r="G396" s="26">
        <f>IF(OR($C396="",$E396=""),"",$E396*$F396)</f>
        <v/>
      </c>
      <c r="H396" s="22" t="n"/>
      <c r="I396" s="33">
        <f>IF($C396="","",IFERROR($E396*VLOOKUP($C396,'2_Control_de_Stock'!$A$11:$N$210,10,0),0))</f>
        <v/>
      </c>
      <c r="J396" s="36">
        <f>IF($G396="","",$G396-$I396)</f>
        <v/>
      </c>
      <c r="K396" s="37">
        <f>IF($C396="","",IFERROR(VLOOKUP($C396,'2_Control_de_Stock'!$A$11:$N$210,3,0),""))</f>
        <v/>
      </c>
    </row>
    <row r="397">
      <c r="A397" s="21" t="n"/>
      <c r="B397" s="22" t="n"/>
      <c r="C397" s="22" t="n"/>
      <c r="D397" s="35">
        <f>IF($C397="","",IFERROR(VLOOKUP($C397,'2_Control_de_Stock'!$A$11:$N$210,2,0),"⚠️ SKU no existe"))</f>
        <v/>
      </c>
      <c r="E397" s="24" t="n"/>
      <c r="F397" s="33">
        <f>IF($C397="","",IFERROR(VLOOKUP($C397,'2_Control_de_Stock'!$A$11:$N$210,11,0),0))</f>
        <v/>
      </c>
      <c r="G397" s="26">
        <f>IF(OR($C397="",$E397=""),"",$E397*$F397)</f>
        <v/>
      </c>
      <c r="H397" s="22" t="n"/>
      <c r="I397" s="33">
        <f>IF($C397="","",IFERROR($E397*VLOOKUP($C397,'2_Control_de_Stock'!$A$11:$N$210,10,0),0))</f>
        <v/>
      </c>
      <c r="J397" s="36">
        <f>IF($G397="","",$G397-$I397)</f>
        <v/>
      </c>
      <c r="K397" s="37">
        <f>IF($C397="","",IFERROR(VLOOKUP($C397,'2_Control_de_Stock'!$A$11:$N$210,3,0),""))</f>
        <v/>
      </c>
    </row>
    <row r="398">
      <c r="A398" s="21" t="n"/>
      <c r="B398" s="22" t="n"/>
      <c r="C398" s="22" t="n"/>
      <c r="D398" s="35">
        <f>IF($C398="","",IFERROR(VLOOKUP($C398,'2_Control_de_Stock'!$A$11:$N$210,2,0),"⚠️ SKU no existe"))</f>
        <v/>
      </c>
      <c r="E398" s="24" t="n"/>
      <c r="F398" s="33">
        <f>IF($C398="","",IFERROR(VLOOKUP($C398,'2_Control_de_Stock'!$A$11:$N$210,11,0),0))</f>
        <v/>
      </c>
      <c r="G398" s="26">
        <f>IF(OR($C398="",$E398=""),"",$E398*$F398)</f>
        <v/>
      </c>
      <c r="H398" s="22" t="n"/>
      <c r="I398" s="33">
        <f>IF($C398="","",IFERROR($E398*VLOOKUP($C398,'2_Control_de_Stock'!$A$11:$N$210,10,0),0))</f>
        <v/>
      </c>
      <c r="J398" s="36">
        <f>IF($G398="","",$G398-$I398)</f>
        <v/>
      </c>
      <c r="K398" s="37">
        <f>IF($C398="","",IFERROR(VLOOKUP($C398,'2_Control_de_Stock'!$A$11:$N$210,3,0),""))</f>
        <v/>
      </c>
    </row>
    <row r="399">
      <c r="A399" s="21" t="n"/>
      <c r="B399" s="22" t="n"/>
      <c r="C399" s="22" t="n"/>
      <c r="D399" s="35">
        <f>IF($C399="","",IFERROR(VLOOKUP($C399,'2_Control_de_Stock'!$A$11:$N$210,2,0),"⚠️ SKU no existe"))</f>
        <v/>
      </c>
      <c r="E399" s="24" t="n"/>
      <c r="F399" s="33">
        <f>IF($C399="","",IFERROR(VLOOKUP($C399,'2_Control_de_Stock'!$A$11:$N$210,11,0),0))</f>
        <v/>
      </c>
      <c r="G399" s="26">
        <f>IF(OR($C399="",$E399=""),"",$E399*$F399)</f>
        <v/>
      </c>
      <c r="H399" s="22" t="n"/>
      <c r="I399" s="33">
        <f>IF($C399="","",IFERROR($E399*VLOOKUP($C399,'2_Control_de_Stock'!$A$11:$N$210,10,0),0))</f>
        <v/>
      </c>
      <c r="J399" s="36">
        <f>IF($G399="","",$G399-$I399)</f>
        <v/>
      </c>
      <c r="K399" s="37">
        <f>IF($C399="","",IFERROR(VLOOKUP($C399,'2_Control_de_Stock'!$A$11:$N$210,3,0),""))</f>
        <v/>
      </c>
    </row>
    <row r="400">
      <c r="A400" s="21" t="n"/>
      <c r="B400" s="22" t="n"/>
      <c r="C400" s="22" t="n"/>
      <c r="D400" s="35">
        <f>IF($C400="","",IFERROR(VLOOKUP($C400,'2_Control_de_Stock'!$A$11:$N$210,2,0),"⚠️ SKU no existe"))</f>
        <v/>
      </c>
      <c r="E400" s="24" t="n"/>
      <c r="F400" s="33">
        <f>IF($C400="","",IFERROR(VLOOKUP($C400,'2_Control_de_Stock'!$A$11:$N$210,11,0),0))</f>
        <v/>
      </c>
      <c r="G400" s="26">
        <f>IF(OR($C400="",$E400=""),"",$E400*$F400)</f>
        <v/>
      </c>
      <c r="H400" s="22" t="n"/>
      <c r="I400" s="33">
        <f>IF($C400="","",IFERROR($E400*VLOOKUP($C400,'2_Control_de_Stock'!$A$11:$N$210,10,0),0))</f>
        <v/>
      </c>
      <c r="J400" s="36">
        <f>IF($G400="","",$G400-$I400)</f>
        <v/>
      </c>
      <c r="K400" s="37">
        <f>IF($C400="","",IFERROR(VLOOKUP($C400,'2_Control_de_Stock'!$A$11:$N$210,3,0),""))</f>
        <v/>
      </c>
    </row>
    <row r="401">
      <c r="A401" s="21" t="n"/>
      <c r="B401" s="22" t="n"/>
      <c r="C401" s="22" t="n"/>
      <c r="D401" s="35">
        <f>IF($C401="","",IFERROR(VLOOKUP($C401,'2_Control_de_Stock'!$A$11:$N$210,2,0),"⚠️ SKU no existe"))</f>
        <v/>
      </c>
      <c r="E401" s="24" t="n"/>
      <c r="F401" s="33">
        <f>IF($C401="","",IFERROR(VLOOKUP($C401,'2_Control_de_Stock'!$A$11:$N$210,11,0),0))</f>
        <v/>
      </c>
      <c r="G401" s="26">
        <f>IF(OR($C401="",$E401=""),"",$E401*$F401)</f>
        <v/>
      </c>
      <c r="H401" s="22" t="n"/>
      <c r="I401" s="33">
        <f>IF($C401="","",IFERROR($E401*VLOOKUP($C401,'2_Control_de_Stock'!$A$11:$N$210,10,0),0))</f>
        <v/>
      </c>
      <c r="J401" s="36">
        <f>IF($G401="","",$G401-$I401)</f>
        <v/>
      </c>
      <c r="K401" s="37">
        <f>IF($C401="","",IFERROR(VLOOKUP($C401,'2_Control_de_Stock'!$A$11:$N$210,3,0),""))</f>
        <v/>
      </c>
    </row>
    <row r="402">
      <c r="A402" s="21" t="n"/>
      <c r="B402" s="22" t="n"/>
      <c r="C402" s="22" t="n"/>
      <c r="D402" s="35">
        <f>IF($C402="","",IFERROR(VLOOKUP($C402,'2_Control_de_Stock'!$A$11:$N$210,2,0),"⚠️ SKU no existe"))</f>
        <v/>
      </c>
      <c r="E402" s="24" t="n"/>
      <c r="F402" s="33">
        <f>IF($C402="","",IFERROR(VLOOKUP($C402,'2_Control_de_Stock'!$A$11:$N$210,11,0),0))</f>
        <v/>
      </c>
      <c r="G402" s="26">
        <f>IF(OR($C402="",$E402=""),"",$E402*$F402)</f>
        <v/>
      </c>
      <c r="H402" s="22" t="n"/>
      <c r="I402" s="33">
        <f>IF($C402="","",IFERROR($E402*VLOOKUP($C402,'2_Control_de_Stock'!$A$11:$N$210,10,0),0))</f>
        <v/>
      </c>
      <c r="J402" s="36">
        <f>IF($G402="","",$G402-$I402)</f>
        <v/>
      </c>
      <c r="K402" s="37">
        <f>IF($C402="","",IFERROR(VLOOKUP($C402,'2_Control_de_Stock'!$A$11:$N$210,3,0),""))</f>
        <v/>
      </c>
    </row>
    <row r="403">
      <c r="A403" s="21" t="n"/>
      <c r="B403" s="22" t="n"/>
      <c r="C403" s="22" t="n"/>
      <c r="D403" s="35">
        <f>IF($C403="","",IFERROR(VLOOKUP($C403,'2_Control_de_Stock'!$A$11:$N$210,2,0),"⚠️ SKU no existe"))</f>
        <v/>
      </c>
      <c r="E403" s="24" t="n"/>
      <c r="F403" s="33">
        <f>IF($C403="","",IFERROR(VLOOKUP($C403,'2_Control_de_Stock'!$A$11:$N$210,11,0),0))</f>
        <v/>
      </c>
      <c r="G403" s="26">
        <f>IF(OR($C403="",$E403=""),"",$E403*$F403)</f>
        <v/>
      </c>
      <c r="H403" s="22" t="n"/>
      <c r="I403" s="33">
        <f>IF($C403="","",IFERROR($E403*VLOOKUP($C403,'2_Control_de_Stock'!$A$11:$N$210,10,0),0))</f>
        <v/>
      </c>
      <c r="J403" s="36">
        <f>IF($G403="","",$G403-$I403)</f>
        <v/>
      </c>
      <c r="K403" s="37">
        <f>IF($C403="","",IFERROR(VLOOKUP($C403,'2_Control_de_Stock'!$A$11:$N$210,3,0),""))</f>
        <v/>
      </c>
    </row>
    <row r="404">
      <c r="A404" s="21" t="n"/>
      <c r="B404" s="22" t="n"/>
      <c r="C404" s="22" t="n"/>
      <c r="D404" s="35">
        <f>IF($C404="","",IFERROR(VLOOKUP($C404,'2_Control_de_Stock'!$A$11:$N$210,2,0),"⚠️ SKU no existe"))</f>
        <v/>
      </c>
      <c r="E404" s="24" t="n"/>
      <c r="F404" s="33">
        <f>IF($C404="","",IFERROR(VLOOKUP($C404,'2_Control_de_Stock'!$A$11:$N$210,11,0),0))</f>
        <v/>
      </c>
      <c r="G404" s="26">
        <f>IF(OR($C404="",$E404=""),"",$E404*$F404)</f>
        <v/>
      </c>
      <c r="H404" s="22" t="n"/>
      <c r="I404" s="33">
        <f>IF($C404="","",IFERROR($E404*VLOOKUP($C404,'2_Control_de_Stock'!$A$11:$N$210,10,0),0))</f>
        <v/>
      </c>
      <c r="J404" s="36">
        <f>IF($G404="","",$G404-$I404)</f>
        <v/>
      </c>
      <c r="K404" s="37">
        <f>IF($C404="","",IFERROR(VLOOKUP($C404,'2_Control_de_Stock'!$A$11:$N$210,3,0),""))</f>
        <v/>
      </c>
    </row>
    <row r="405">
      <c r="A405" s="21" t="n"/>
      <c r="B405" s="22" t="n"/>
      <c r="C405" s="22" t="n"/>
      <c r="D405" s="35">
        <f>IF($C405="","",IFERROR(VLOOKUP($C405,'2_Control_de_Stock'!$A$11:$N$210,2,0),"⚠️ SKU no existe"))</f>
        <v/>
      </c>
      <c r="E405" s="24" t="n"/>
      <c r="F405" s="33">
        <f>IF($C405="","",IFERROR(VLOOKUP($C405,'2_Control_de_Stock'!$A$11:$N$210,11,0),0))</f>
        <v/>
      </c>
      <c r="G405" s="26">
        <f>IF(OR($C405="",$E405=""),"",$E405*$F405)</f>
        <v/>
      </c>
      <c r="H405" s="22" t="n"/>
      <c r="I405" s="33">
        <f>IF($C405="","",IFERROR($E405*VLOOKUP($C405,'2_Control_de_Stock'!$A$11:$N$210,10,0),0))</f>
        <v/>
      </c>
      <c r="J405" s="36">
        <f>IF($G405="","",$G405-$I405)</f>
        <v/>
      </c>
      <c r="K405" s="37">
        <f>IF($C405="","",IFERROR(VLOOKUP($C405,'2_Control_de_Stock'!$A$11:$N$210,3,0),""))</f>
        <v/>
      </c>
    </row>
    <row r="406">
      <c r="A406" s="21" t="n"/>
      <c r="B406" s="22" t="n"/>
      <c r="C406" s="22" t="n"/>
      <c r="D406" s="35">
        <f>IF($C406="","",IFERROR(VLOOKUP($C406,'2_Control_de_Stock'!$A$11:$N$210,2,0),"⚠️ SKU no existe"))</f>
        <v/>
      </c>
      <c r="E406" s="24" t="n"/>
      <c r="F406" s="33">
        <f>IF($C406="","",IFERROR(VLOOKUP($C406,'2_Control_de_Stock'!$A$11:$N$210,11,0),0))</f>
        <v/>
      </c>
      <c r="G406" s="26">
        <f>IF(OR($C406="",$E406=""),"",$E406*$F406)</f>
        <v/>
      </c>
      <c r="H406" s="22" t="n"/>
      <c r="I406" s="33">
        <f>IF($C406="","",IFERROR($E406*VLOOKUP($C406,'2_Control_de_Stock'!$A$11:$N$210,10,0),0))</f>
        <v/>
      </c>
      <c r="J406" s="36">
        <f>IF($G406="","",$G406-$I406)</f>
        <v/>
      </c>
      <c r="K406" s="37">
        <f>IF($C406="","",IFERROR(VLOOKUP($C406,'2_Control_de_Stock'!$A$11:$N$210,3,0),""))</f>
        <v/>
      </c>
    </row>
    <row r="407">
      <c r="A407" s="21" t="n"/>
      <c r="B407" s="22" t="n"/>
      <c r="C407" s="22" t="n"/>
      <c r="D407" s="35">
        <f>IF($C407="","",IFERROR(VLOOKUP($C407,'2_Control_de_Stock'!$A$11:$N$210,2,0),"⚠️ SKU no existe"))</f>
        <v/>
      </c>
      <c r="E407" s="24" t="n"/>
      <c r="F407" s="33">
        <f>IF($C407="","",IFERROR(VLOOKUP($C407,'2_Control_de_Stock'!$A$11:$N$210,11,0),0))</f>
        <v/>
      </c>
      <c r="G407" s="26">
        <f>IF(OR($C407="",$E407=""),"",$E407*$F407)</f>
        <v/>
      </c>
      <c r="H407" s="22" t="n"/>
      <c r="I407" s="33">
        <f>IF($C407="","",IFERROR($E407*VLOOKUP($C407,'2_Control_de_Stock'!$A$11:$N$210,10,0),0))</f>
        <v/>
      </c>
      <c r="J407" s="36">
        <f>IF($G407="","",$G407-$I407)</f>
        <v/>
      </c>
      <c r="K407" s="37">
        <f>IF($C407="","",IFERROR(VLOOKUP($C407,'2_Control_de_Stock'!$A$11:$N$210,3,0),""))</f>
        <v/>
      </c>
    </row>
    <row r="408">
      <c r="A408" s="21" t="n"/>
      <c r="B408" s="22" t="n"/>
      <c r="C408" s="22" t="n"/>
      <c r="D408" s="35">
        <f>IF($C408="","",IFERROR(VLOOKUP($C408,'2_Control_de_Stock'!$A$11:$N$210,2,0),"⚠️ SKU no existe"))</f>
        <v/>
      </c>
      <c r="E408" s="24" t="n"/>
      <c r="F408" s="33">
        <f>IF($C408="","",IFERROR(VLOOKUP($C408,'2_Control_de_Stock'!$A$11:$N$210,11,0),0))</f>
        <v/>
      </c>
      <c r="G408" s="26">
        <f>IF(OR($C408="",$E408=""),"",$E408*$F408)</f>
        <v/>
      </c>
      <c r="H408" s="22" t="n"/>
      <c r="I408" s="33">
        <f>IF($C408="","",IFERROR($E408*VLOOKUP($C408,'2_Control_de_Stock'!$A$11:$N$210,10,0),0))</f>
        <v/>
      </c>
      <c r="J408" s="36">
        <f>IF($G408="","",$G408-$I408)</f>
        <v/>
      </c>
      <c r="K408" s="37">
        <f>IF($C408="","",IFERROR(VLOOKUP($C408,'2_Control_de_Stock'!$A$11:$N$210,3,0),""))</f>
        <v/>
      </c>
    </row>
    <row r="409">
      <c r="A409" s="21" t="n"/>
      <c r="B409" s="22" t="n"/>
      <c r="C409" s="22" t="n"/>
      <c r="D409" s="35">
        <f>IF($C409="","",IFERROR(VLOOKUP($C409,'2_Control_de_Stock'!$A$11:$N$210,2,0),"⚠️ SKU no existe"))</f>
        <v/>
      </c>
      <c r="E409" s="24" t="n"/>
      <c r="F409" s="33">
        <f>IF($C409="","",IFERROR(VLOOKUP($C409,'2_Control_de_Stock'!$A$11:$N$210,11,0),0))</f>
        <v/>
      </c>
      <c r="G409" s="26">
        <f>IF(OR($C409="",$E409=""),"",$E409*$F409)</f>
        <v/>
      </c>
      <c r="H409" s="22" t="n"/>
      <c r="I409" s="33">
        <f>IF($C409="","",IFERROR($E409*VLOOKUP($C409,'2_Control_de_Stock'!$A$11:$N$210,10,0),0))</f>
        <v/>
      </c>
      <c r="J409" s="36">
        <f>IF($G409="","",$G409-$I409)</f>
        <v/>
      </c>
      <c r="K409" s="37">
        <f>IF($C409="","",IFERROR(VLOOKUP($C409,'2_Control_de_Stock'!$A$11:$N$210,3,0),""))</f>
        <v/>
      </c>
    </row>
    <row r="410">
      <c r="A410" s="21" t="n"/>
      <c r="B410" s="22" t="n"/>
      <c r="C410" s="22" t="n"/>
      <c r="D410" s="35">
        <f>IF($C410="","",IFERROR(VLOOKUP($C410,'2_Control_de_Stock'!$A$11:$N$210,2,0),"⚠️ SKU no existe"))</f>
        <v/>
      </c>
      <c r="E410" s="24" t="n"/>
      <c r="F410" s="33">
        <f>IF($C410="","",IFERROR(VLOOKUP($C410,'2_Control_de_Stock'!$A$11:$N$210,11,0),0))</f>
        <v/>
      </c>
      <c r="G410" s="26">
        <f>IF(OR($C410="",$E410=""),"",$E410*$F410)</f>
        <v/>
      </c>
      <c r="H410" s="22" t="n"/>
      <c r="I410" s="33">
        <f>IF($C410="","",IFERROR($E410*VLOOKUP($C410,'2_Control_de_Stock'!$A$11:$N$210,10,0),0))</f>
        <v/>
      </c>
      <c r="J410" s="36">
        <f>IF($G410="","",$G410-$I410)</f>
        <v/>
      </c>
      <c r="K410" s="37">
        <f>IF($C410="","",IFERROR(VLOOKUP($C410,'2_Control_de_Stock'!$A$11:$N$210,3,0),""))</f>
        <v/>
      </c>
    </row>
    <row r="411">
      <c r="A411" s="21" t="n"/>
      <c r="B411" s="22" t="n"/>
      <c r="C411" s="22" t="n"/>
      <c r="D411" s="35">
        <f>IF($C411="","",IFERROR(VLOOKUP($C411,'2_Control_de_Stock'!$A$11:$N$210,2,0),"⚠️ SKU no existe"))</f>
        <v/>
      </c>
      <c r="E411" s="24" t="n"/>
      <c r="F411" s="33">
        <f>IF($C411="","",IFERROR(VLOOKUP($C411,'2_Control_de_Stock'!$A$11:$N$210,11,0),0))</f>
        <v/>
      </c>
      <c r="G411" s="26">
        <f>IF(OR($C411="",$E411=""),"",$E411*$F411)</f>
        <v/>
      </c>
      <c r="H411" s="22" t="n"/>
      <c r="I411" s="33">
        <f>IF($C411="","",IFERROR($E411*VLOOKUP($C411,'2_Control_de_Stock'!$A$11:$N$210,10,0),0))</f>
        <v/>
      </c>
      <c r="J411" s="36">
        <f>IF($G411="","",$G411-$I411)</f>
        <v/>
      </c>
      <c r="K411" s="37">
        <f>IF($C411="","",IFERROR(VLOOKUP($C411,'2_Control_de_Stock'!$A$11:$N$210,3,0),""))</f>
        <v/>
      </c>
    </row>
    <row r="412">
      <c r="A412" s="21" t="n"/>
      <c r="B412" s="22" t="n"/>
      <c r="C412" s="22" t="n"/>
      <c r="D412" s="35">
        <f>IF($C412="","",IFERROR(VLOOKUP($C412,'2_Control_de_Stock'!$A$11:$N$210,2,0),"⚠️ SKU no existe"))</f>
        <v/>
      </c>
      <c r="E412" s="24" t="n"/>
      <c r="F412" s="33">
        <f>IF($C412="","",IFERROR(VLOOKUP($C412,'2_Control_de_Stock'!$A$11:$N$210,11,0),0))</f>
        <v/>
      </c>
      <c r="G412" s="26">
        <f>IF(OR($C412="",$E412=""),"",$E412*$F412)</f>
        <v/>
      </c>
      <c r="H412" s="22" t="n"/>
      <c r="I412" s="33">
        <f>IF($C412="","",IFERROR($E412*VLOOKUP($C412,'2_Control_de_Stock'!$A$11:$N$210,10,0),0))</f>
        <v/>
      </c>
      <c r="J412" s="36">
        <f>IF($G412="","",$G412-$I412)</f>
        <v/>
      </c>
      <c r="K412" s="37">
        <f>IF($C412="","",IFERROR(VLOOKUP($C412,'2_Control_de_Stock'!$A$11:$N$210,3,0),""))</f>
        <v/>
      </c>
    </row>
    <row r="413">
      <c r="A413" s="21" t="n"/>
      <c r="B413" s="22" t="n"/>
      <c r="C413" s="22" t="n"/>
      <c r="D413" s="35">
        <f>IF($C413="","",IFERROR(VLOOKUP($C413,'2_Control_de_Stock'!$A$11:$N$210,2,0),"⚠️ SKU no existe"))</f>
        <v/>
      </c>
      <c r="E413" s="24" t="n"/>
      <c r="F413" s="33">
        <f>IF($C413="","",IFERROR(VLOOKUP($C413,'2_Control_de_Stock'!$A$11:$N$210,11,0),0))</f>
        <v/>
      </c>
      <c r="G413" s="26">
        <f>IF(OR($C413="",$E413=""),"",$E413*$F413)</f>
        <v/>
      </c>
      <c r="H413" s="22" t="n"/>
      <c r="I413" s="33">
        <f>IF($C413="","",IFERROR($E413*VLOOKUP($C413,'2_Control_de_Stock'!$A$11:$N$210,10,0),0))</f>
        <v/>
      </c>
      <c r="J413" s="36">
        <f>IF($G413="","",$G413-$I413)</f>
        <v/>
      </c>
      <c r="K413" s="37">
        <f>IF($C413="","",IFERROR(VLOOKUP($C413,'2_Control_de_Stock'!$A$11:$N$210,3,0),""))</f>
        <v/>
      </c>
    </row>
    <row r="414">
      <c r="A414" s="21" t="n"/>
      <c r="B414" s="22" t="n"/>
      <c r="C414" s="22" t="n"/>
      <c r="D414" s="35">
        <f>IF($C414="","",IFERROR(VLOOKUP($C414,'2_Control_de_Stock'!$A$11:$N$210,2,0),"⚠️ SKU no existe"))</f>
        <v/>
      </c>
      <c r="E414" s="24" t="n"/>
      <c r="F414" s="33">
        <f>IF($C414="","",IFERROR(VLOOKUP($C414,'2_Control_de_Stock'!$A$11:$N$210,11,0),0))</f>
        <v/>
      </c>
      <c r="G414" s="26">
        <f>IF(OR($C414="",$E414=""),"",$E414*$F414)</f>
        <v/>
      </c>
      <c r="H414" s="22" t="n"/>
      <c r="I414" s="33">
        <f>IF($C414="","",IFERROR($E414*VLOOKUP($C414,'2_Control_de_Stock'!$A$11:$N$210,10,0),0))</f>
        <v/>
      </c>
      <c r="J414" s="36">
        <f>IF($G414="","",$G414-$I414)</f>
        <v/>
      </c>
      <c r="K414" s="37">
        <f>IF($C414="","",IFERROR(VLOOKUP($C414,'2_Control_de_Stock'!$A$11:$N$210,3,0),""))</f>
        <v/>
      </c>
    </row>
    <row r="415">
      <c r="A415" s="21" t="n"/>
      <c r="B415" s="22" t="n"/>
      <c r="C415" s="22" t="n"/>
      <c r="D415" s="35">
        <f>IF($C415="","",IFERROR(VLOOKUP($C415,'2_Control_de_Stock'!$A$11:$N$210,2,0),"⚠️ SKU no existe"))</f>
        <v/>
      </c>
      <c r="E415" s="24" t="n"/>
      <c r="F415" s="33">
        <f>IF($C415="","",IFERROR(VLOOKUP($C415,'2_Control_de_Stock'!$A$11:$N$210,11,0),0))</f>
        <v/>
      </c>
      <c r="G415" s="26">
        <f>IF(OR($C415="",$E415=""),"",$E415*$F415)</f>
        <v/>
      </c>
      <c r="H415" s="22" t="n"/>
      <c r="I415" s="33">
        <f>IF($C415="","",IFERROR($E415*VLOOKUP($C415,'2_Control_de_Stock'!$A$11:$N$210,10,0),0))</f>
        <v/>
      </c>
      <c r="J415" s="36">
        <f>IF($G415="","",$G415-$I415)</f>
        <v/>
      </c>
      <c r="K415" s="37">
        <f>IF($C415="","",IFERROR(VLOOKUP($C415,'2_Control_de_Stock'!$A$11:$N$210,3,0),""))</f>
        <v/>
      </c>
    </row>
    <row r="416">
      <c r="A416" s="21" t="n"/>
      <c r="B416" s="22" t="n"/>
      <c r="C416" s="22" t="n"/>
      <c r="D416" s="35">
        <f>IF($C416="","",IFERROR(VLOOKUP($C416,'2_Control_de_Stock'!$A$11:$N$210,2,0),"⚠️ SKU no existe"))</f>
        <v/>
      </c>
      <c r="E416" s="24" t="n"/>
      <c r="F416" s="33">
        <f>IF($C416="","",IFERROR(VLOOKUP($C416,'2_Control_de_Stock'!$A$11:$N$210,11,0),0))</f>
        <v/>
      </c>
      <c r="G416" s="26">
        <f>IF(OR($C416="",$E416=""),"",$E416*$F416)</f>
        <v/>
      </c>
      <c r="H416" s="22" t="n"/>
      <c r="I416" s="33">
        <f>IF($C416="","",IFERROR($E416*VLOOKUP($C416,'2_Control_de_Stock'!$A$11:$N$210,10,0),0))</f>
        <v/>
      </c>
      <c r="J416" s="36">
        <f>IF($G416="","",$G416-$I416)</f>
        <v/>
      </c>
      <c r="K416" s="37">
        <f>IF($C416="","",IFERROR(VLOOKUP($C416,'2_Control_de_Stock'!$A$11:$N$210,3,0),""))</f>
        <v/>
      </c>
    </row>
    <row r="417">
      <c r="A417" s="21" t="n"/>
      <c r="B417" s="22" t="n"/>
      <c r="C417" s="22" t="n"/>
      <c r="D417" s="35">
        <f>IF($C417="","",IFERROR(VLOOKUP($C417,'2_Control_de_Stock'!$A$11:$N$210,2,0),"⚠️ SKU no existe"))</f>
        <v/>
      </c>
      <c r="E417" s="24" t="n"/>
      <c r="F417" s="33">
        <f>IF($C417="","",IFERROR(VLOOKUP($C417,'2_Control_de_Stock'!$A$11:$N$210,11,0),0))</f>
        <v/>
      </c>
      <c r="G417" s="26">
        <f>IF(OR($C417="",$E417=""),"",$E417*$F417)</f>
        <v/>
      </c>
      <c r="H417" s="22" t="n"/>
      <c r="I417" s="33">
        <f>IF($C417="","",IFERROR($E417*VLOOKUP($C417,'2_Control_de_Stock'!$A$11:$N$210,10,0),0))</f>
        <v/>
      </c>
      <c r="J417" s="36">
        <f>IF($G417="","",$G417-$I417)</f>
        <v/>
      </c>
      <c r="K417" s="37">
        <f>IF($C417="","",IFERROR(VLOOKUP($C417,'2_Control_de_Stock'!$A$11:$N$210,3,0),""))</f>
        <v/>
      </c>
    </row>
    <row r="418">
      <c r="A418" s="21" t="n"/>
      <c r="B418" s="22" t="n"/>
      <c r="C418" s="22" t="n"/>
      <c r="D418" s="35">
        <f>IF($C418="","",IFERROR(VLOOKUP($C418,'2_Control_de_Stock'!$A$11:$N$210,2,0),"⚠️ SKU no existe"))</f>
        <v/>
      </c>
      <c r="E418" s="24" t="n"/>
      <c r="F418" s="33">
        <f>IF($C418="","",IFERROR(VLOOKUP($C418,'2_Control_de_Stock'!$A$11:$N$210,11,0),0))</f>
        <v/>
      </c>
      <c r="G418" s="26">
        <f>IF(OR($C418="",$E418=""),"",$E418*$F418)</f>
        <v/>
      </c>
      <c r="H418" s="22" t="n"/>
      <c r="I418" s="33">
        <f>IF($C418="","",IFERROR($E418*VLOOKUP($C418,'2_Control_de_Stock'!$A$11:$N$210,10,0),0))</f>
        <v/>
      </c>
      <c r="J418" s="36">
        <f>IF($G418="","",$G418-$I418)</f>
        <v/>
      </c>
      <c r="K418" s="37">
        <f>IF($C418="","",IFERROR(VLOOKUP($C418,'2_Control_de_Stock'!$A$11:$N$210,3,0),""))</f>
        <v/>
      </c>
    </row>
    <row r="419">
      <c r="A419" s="21" t="n"/>
      <c r="B419" s="22" t="n"/>
      <c r="C419" s="22" t="n"/>
      <c r="D419" s="35">
        <f>IF($C419="","",IFERROR(VLOOKUP($C419,'2_Control_de_Stock'!$A$11:$N$210,2,0),"⚠️ SKU no existe"))</f>
        <v/>
      </c>
      <c r="E419" s="24" t="n"/>
      <c r="F419" s="33">
        <f>IF($C419="","",IFERROR(VLOOKUP($C419,'2_Control_de_Stock'!$A$11:$N$210,11,0),0))</f>
        <v/>
      </c>
      <c r="G419" s="26">
        <f>IF(OR($C419="",$E419=""),"",$E419*$F419)</f>
        <v/>
      </c>
      <c r="H419" s="22" t="n"/>
      <c r="I419" s="33">
        <f>IF($C419="","",IFERROR($E419*VLOOKUP($C419,'2_Control_de_Stock'!$A$11:$N$210,10,0),0))</f>
        <v/>
      </c>
      <c r="J419" s="36">
        <f>IF($G419="","",$G419-$I419)</f>
        <v/>
      </c>
      <c r="K419" s="37">
        <f>IF($C419="","",IFERROR(VLOOKUP($C419,'2_Control_de_Stock'!$A$11:$N$210,3,0),""))</f>
        <v/>
      </c>
    </row>
    <row r="420">
      <c r="A420" s="21" t="n"/>
      <c r="B420" s="22" t="n"/>
      <c r="C420" s="22" t="n"/>
      <c r="D420" s="35">
        <f>IF($C420="","",IFERROR(VLOOKUP($C420,'2_Control_de_Stock'!$A$11:$N$210,2,0),"⚠️ SKU no existe"))</f>
        <v/>
      </c>
      <c r="E420" s="24" t="n"/>
      <c r="F420" s="33">
        <f>IF($C420="","",IFERROR(VLOOKUP($C420,'2_Control_de_Stock'!$A$11:$N$210,11,0),0))</f>
        <v/>
      </c>
      <c r="G420" s="26">
        <f>IF(OR($C420="",$E420=""),"",$E420*$F420)</f>
        <v/>
      </c>
      <c r="H420" s="22" t="n"/>
      <c r="I420" s="33">
        <f>IF($C420="","",IFERROR($E420*VLOOKUP($C420,'2_Control_de_Stock'!$A$11:$N$210,10,0),0))</f>
        <v/>
      </c>
      <c r="J420" s="36">
        <f>IF($G420="","",$G420-$I420)</f>
        <v/>
      </c>
      <c r="K420" s="37">
        <f>IF($C420="","",IFERROR(VLOOKUP($C420,'2_Control_de_Stock'!$A$11:$N$210,3,0),""))</f>
        <v/>
      </c>
    </row>
    <row r="421">
      <c r="A421" s="21" t="n"/>
      <c r="B421" s="22" t="n"/>
      <c r="C421" s="22" t="n"/>
      <c r="D421" s="35">
        <f>IF($C421="","",IFERROR(VLOOKUP($C421,'2_Control_de_Stock'!$A$11:$N$210,2,0),"⚠️ SKU no existe"))</f>
        <v/>
      </c>
      <c r="E421" s="24" t="n"/>
      <c r="F421" s="33">
        <f>IF($C421="","",IFERROR(VLOOKUP($C421,'2_Control_de_Stock'!$A$11:$N$210,11,0),0))</f>
        <v/>
      </c>
      <c r="G421" s="26">
        <f>IF(OR($C421="",$E421=""),"",$E421*$F421)</f>
        <v/>
      </c>
      <c r="H421" s="22" t="n"/>
      <c r="I421" s="33">
        <f>IF($C421="","",IFERROR($E421*VLOOKUP($C421,'2_Control_de_Stock'!$A$11:$N$210,10,0),0))</f>
        <v/>
      </c>
      <c r="J421" s="36">
        <f>IF($G421="","",$G421-$I421)</f>
        <v/>
      </c>
      <c r="K421" s="37">
        <f>IF($C421="","",IFERROR(VLOOKUP($C421,'2_Control_de_Stock'!$A$11:$N$210,3,0),""))</f>
        <v/>
      </c>
    </row>
    <row r="422">
      <c r="A422" s="21" t="n"/>
      <c r="B422" s="22" t="n"/>
      <c r="C422" s="22" t="n"/>
      <c r="D422" s="35">
        <f>IF($C422="","",IFERROR(VLOOKUP($C422,'2_Control_de_Stock'!$A$11:$N$210,2,0),"⚠️ SKU no existe"))</f>
        <v/>
      </c>
      <c r="E422" s="24" t="n"/>
      <c r="F422" s="33">
        <f>IF($C422="","",IFERROR(VLOOKUP($C422,'2_Control_de_Stock'!$A$11:$N$210,11,0),0))</f>
        <v/>
      </c>
      <c r="G422" s="26">
        <f>IF(OR($C422="",$E422=""),"",$E422*$F422)</f>
        <v/>
      </c>
      <c r="H422" s="22" t="n"/>
      <c r="I422" s="33">
        <f>IF($C422="","",IFERROR($E422*VLOOKUP($C422,'2_Control_de_Stock'!$A$11:$N$210,10,0),0))</f>
        <v/>
      </c>
      <c r="J422" s="36">
        <f>IF($G422="","",$G422-$I422)</f>
        <v/>
      </c>
      <c r="K422" s="37">
        <f>IF($C422="","",IFERROR(VLOOKUP($C422,'2_Control_de_Stock'!$A$11:$N$210,3,0),""))</f>
        <v/>
      </c>
    </row>
    <row r="423">
      <c r="A423" s="21" t="n"/>
      <c r="B423" s="22" t="n"/>
      <c r="C423" s="22" t="n"/>
      <c r="D423" s="35">
        <f>IF($C423="","",IFERROR(VLOOKUP($C423,'2_Control_de_Stock'!$A$11:$N$210,2,0),"⚠️ SKU no existe"))</f>
        <v/>
      </c>
      <c r="E423" s="24" t="n"/>
      <c r="F423" s="33">
        <f>IF($C423="","",IFERROR(VLOOKUP($C423,'2_Control_de_Stock'!$A$11:$N$210,11,0),0))</f>
        <v/>
      </c>
      <c r="G423" s="26">
        <f>IF(OR($C423="",$E423=""),"",$E423*$F423)</f>
        <v/>
      </c>
      <c r="H423" s="22" t="n"/>
      <c r="I423" s="33">
        <f>IF($C423="","",IFERROR($E423*VLOOKUP($C423,'2_Control_de_Stock'!$A$11:$N$210,10,0),0))</f>
        <v/>
      </c>
      <c r="J423" s="36">
        <f>IF($G423="","",$G423-$I423)</f>
        <v/>
      </c>
      <c r="K423" s="37">
        <f>IF($C423="","",IFERROR(VLOOKUP($C423,'2_Control_de_Stock'!$A$11:$N$210,3,0),""))</f>
        <v/>
      </c>
    </row>
    <row r="424">
      <c r="A424" s="21" t="n"/>
      <c r="B424" s="22" t="n"/>
      <c r="C424" s="22" t="n"/>
      <c r="D424" s="35">
        <f>IF($C424="","",IFERROR(VLOOKUP($C424,'2_Control_de_Stock'!$A$11:$N$210,2,0),"⚠️ SKU no existe"))</f>
        <v/>
      </c>
      <c r="E424" s="24" t="n"/>
      <c r="F424" s="33">
        <f>IF($C424="","",IFERROR(VLOOKUP($C424,'2_Control_de_Stock'!$A$11:$N$210,11,0),0))</f>
        <v/>
      </c>
      <c r="G424" s="26">
        <f>IF(OR($C424="",$E424=""),"",$E424*$F424)</f>
        <v/>
      </c>
      <c r="H424" s="22" t="n"/>
      <c r="I424" s="33">
        <f>IF($C424="","",IFERROR($E424*VLOOKUP($C424,'2_Control_de_Stock'!$A$11:$N$210,10,0),0))</f>
        <v/>
      </c>
      <c r="J424" s="36">
        <f>IF($G424="","",$G424-$I424)</f>
        <v/>
      </c>
      <c r="K424" s="37">
        <f>IF($C424="","",IFERROR(VLOOKUP($C424,'2_Control_de_Stock'!$A$11:$N$210,3,0),""))</f>
        <v/>
      </c>
    </row>
    <row r="425">
      <c r="A425" s="21" t="n"/>
      <c r="B425" s="22" t="n"/>
      <c r="C425" s="22" t="n"/>
      <c r="D425" s="35">
        <f>IF($C425="","",IFERROR(VLOOKUP($C425,'2_Control_de_Stock'!$A$11:$N$210,2,0),"⚠️ SKU no existe"))</f>
        <v/>
      </c>
      <c r="E425" s="24" t="n"/>
      <c r="F425" s="33">
        <f>IF($C425="","",IFERROR(VLOOKUP($C425,'2_Control_de_Stock'!$A$11:$N$210,11,0),0))</f>
        <v/>
      </c>
      <c r="G425" s="26">
        <f>IF(OR($C425="",$E425=""),"",$E425*$F425)</f>
        <v/>
      </c>
      <c r="H425" s="22" t="n"/>
      <c r="I425" s="33">
        <f>IF($C425="","",IFERROR($E425*VLOOKUP($C425,'2_Control_de_Stock'!$A$11:$N$210,10,0),0))</f>
        <v/>
      </c>
      <c r="J425" s="36">
        <f>IF($G425="","",$G425-$I425)</f>
        <v/>
      </c>
      <c r="K425" s="37">
        <f>IF($C425="","",IFERROR(VLOOKUP($C425,'2_Control_de_Stock'!$A$11:$N$210,3,0),""))</f>
        <v/>
      </c>
    </row>
    <row r="426">
      <c r="A426" s="21" t="n"/>
      <c r="B426" s="22" t="n"/>
      <c r="C426" s="22" t="n"/>
      <c r="D426" s="35">
        <f>IF($C426="","",IFERROR(VLOOKUP($C426,'2_Control_de_Stock'!$A$11:$N$210,2,0),"⚠️ SKU no existe"))</f>
        <v/>
      </c>
      <c r="E426" s="24" t="n"/>
      <c r="F426" s="33">
        <f>IF($C426="","",IFERROR(VLOOKUP($C426,'2_Control_de_Stock'!$A$11:$N$210,11,0),0))</f>
        <v/>
      </c>
      <c r="G426" s="26">
        <f>IF(OR($C426="",$E426=""),"",$E426*$F426)</f>
        <v/>
      </c>
      <c r="H426" s="22" t="n"/>
      <c r="I426" s="33">
        <f>IF($C426="","",IFERROR($E426*VLOOKUP($C426,'2_Control_de_Stock'!$A$11:$N$210,10,0),0))</f>
        <v/>
      </c>
      <c r="J426" s="36">
        <f>IF($G426="","",$G426-$I426)</f>
        <v/>
      </c>
      <c r="K426" s="37">
        <f>IF($C426="","",IFERROR(VLOOKUP($C426,'2_Control_de_Stock'!$A$11:$N$210,3,0),""))</f>
        <v/>
      </c>
    </row>
    <row r="427">
      <c r="A427" s="21" t="n"/>
      <c r="B427" s="22" t="n"/>
      <c r="C427" s="22" t="n"/>
      <c r="D427" s="35">
        <f>IF($C427="","",IFERROR(VLOOKUP($C427,'2_Control_de_Stock'!$A$11:$N$210,2,0),"⚠️ SKU no existe"))</f>
        <v/>
      </c>
      <c r="E427" s="24" t="n"/>
      <c r="F427" s="33">
        <f>IF($C427="","",IFERROR(VLOOKUP($C427,'2_Control_de_Stock'!$A$11:$N$210,11,0),0))</f>
        <v/>
      </c>
      <c r="G427" s="26">
        <f>IF(OR($C427="",$E427=""),"",$E427*$F427)</f>
        <v/>
      </c>
      <c r="H427" s="22" t="n"/>
      <c r="I427" s="33">
        <f>IF($C427="","",IFERROR($E427*VLOOKUP($C427,'2_Control_de_Stock'!$A$11:$N$210,10,0),0))</f>
        <v/>
      </c>
      <c r="J427" s="36">
        <f>IF($G427="","",$G427-$I427)</f>
        <v/>
      </c>
      <c r="K427" s="37">
        <f>IF($C427="","",IFERROR(VLOOKUP($C427,'2_Control_de_Stock'!$A$11:$N$210,3,0),""))</f>
        <v/>
      </c>
    </row>
    <row r="428">
      <c r="A428" s="21" t="n"/>
      <c r="B428" s="22" t="n"/>
      <c r="C428" s="22" t="n"/>
      <c r="D428" s="35">
        <f>IF($C428="","",IFERROR(VLOOKUP($C428,'2_Control_de_Stock'!$A$11:$N$210,2,0),"⚠️ SKU no existe"))</f>
        <v/>
      </c>
      <c r="E428" s="24" t="n"/>
      <c r="F428" s="33">
        <f>IF($C428="","",IFERROR(VLOOKUP($C428,'2_Control_de_Stock'!$A$11:$N$210,11,0),0))</f>
        <v/>
      </c>
      <c r="G428" s="26">
        <f>IF(OR($C428="",$E428=""),"",$E428*$F428)</f>
        <v/>
      </c>
      <c r="H428" s="22" t="n"/>
      <c r="I428" s="33">
        <f>IF($C428="","",IFERROR($E428*VLOOKUP($C428,'2_Control_de_Stock'!$A$11:$N$210,10,0),0))</f>
        <v/>
      </c>
      <c r="J428" s="36">
        <f>IF($G428="","",$G428-$I428)</f>
        <v/>
      </c>
      <c r="K428" s="37">
        <f>IF($C428="","",IFERROR(VLOOKUP($C428,'2_Control_de_Stock'!$A$11:$N$210,3,0),""))</f>
        <v/>
      </c>
    </row>
    <row r="429">
      <c r="A429" s="21" t="n"/>
      <c r="B429" s="22" t="n"/>
      <c r="C429" s="22" t="n"/>
      <c r="D429" s="35">
        <f>IF($C429="","",IFERROR(VLOOKUP($C429,'2_Control_de_Stock'!$A$11:$N$210,2,0),"⚠️ SKU no existe"))</f>
        <v/>
      </c>
      <c r="E429" s="24" t="n"/>
      <c r="F429" s="33">
        <f>IF($C429="","",IFERROR(VLOOKUP($C429,'2_Control_de_Stock'!$A$11:$N$210,11,0),0))</f>
        <v/>
      </c>
      <c r="G429" s="26">
        <f>IF(OR($C429="",$E429=""),"",$E429*$F429)</f>
        <v/>
      </c>
      <c r="H429" s="22" t="n"/>
      <c r="I429" s="33">
        <f>IF($C429="","",IFERROR($E429*VLOOKUP($C429,'2_Control_de_Stock'!$A$11:$N$210,10,0),0))</f>
        <v/>
      </c>
      <c r="J429" s="36">
        <f>IF($G429="","",$G429-$I429)</f>
        <v/>
      </c>
      <c r="K429" s="37">
        <f>IF($C429="","",IFERROR(VLOOKUP($C429,'2_Control_de_Stock'!$A$11:$N$210,3,0),""))</f>
        <v/>
      </c>
    </row>
    <row r="430">
      <c r="A430" s="21" t="n"/>
      <c r="B430" s="22" t="n"/>
      <c r="C430" s="22" t="n"/>
      <c r="D430" s="35">
        <f>IF($C430="","",IFERROR(VLOOKUP($C430,'2_Control_de_Stock'!$A$11:$N$210,2,0),"⚠️ SKU no existe"))</f>
        <v/>
      </c>
      <c r="E430" s="24" t="n"/>
      <c r="F430" s="33">
        <f>IF($C430="","",IFERROR(VLOOKUP($C430,'2_Control_de_Stock'!$A$11:$N$210,11,0),0))</f>
        <v/>
      </c>
      <c r="G430" s="26">
        <f>IF(OR($C430="",$E430=""),"",$E430*$F430)</f>
        <v/>
      </c>
      <c r="H430" s="22" t="n"/>
      <c r="I430" s="33">
        <f>IF($C430="","",IFERROR($E430*VLOOKUP($C430,'2_Control_de_Stock'!$A$11:$N$210,10,0),0))</f>
        <v/>
      </c>
      <c r="J430" s="36">
        <f>IF($G430="","",$G430-$I430)</f>
        <v/>
      </c>
      <c r="K430" s="37">
        <f>IF($C430="","",IFERROR(VLOOKUP($C430,'2_Control_de_Stock'!$A$11:$N$210,3,0),""))</f>
        <v/>
      </c>
    </row>
    <row r="431">
      <c r="A431" s="21" t="n"/>
      <c r="B431" s="22" t="n"/>
      <c r="C431" s="22" t="n"/>
      <c r="D431" s="35">
        <f>IF($C431="","",IFERROR(VLOOKUP($C431,'2_Control_de_Stock'!$A$11:$N$210,2,0),"⚠️ SKU no existe"))</f>
        <v/>
      </c>
      <c r="E431" s="24" t="n"/>
      <c r="F431" s="33">
        <f>IF($C431="","",IFERROR(VLOOKUP($C431,'2_Control_de_Stock'!$A$11:$N$210,11,0),0))</f>
        <v/>
      </c>
      <c r="G431" s="26">
        <f>IF(OR($C431="",$E431=""),"",$E431*$F431)</f>
        <v/>
      </c>
      <c r="H431" s="22" t="n"/>
      <c r="I431" s="33">
        <f>IF($C431="","",IFERROR($E431*VLOOKUP($C431,'2_Control_de_Stock'!$A$11:$N$210,10,0),0))</f>
        <v/>
      </c>
      <c r="J431" s="36">
        <f>IF($G431="","",$G431-$I431)</f>
        <v/>
      </c>
      <c r="K431" s="37">
        <f>IF($C431="","",IFERROR(VLOOKUP($C431,'2_Control_de_Stock'!$A$11:$N$210,3,0),""))</f>
        <v/>
      </c>
    </row>
    <row r="432">
      <c r="A432" s="21" t="n"/>
      <c r="B432" s="22" t="n"/>
      <c r="C432" s="22" t="n"/>
      <c r="D432" s="35">
        <f>IF($C432="","",IFERROR(VLOOKUP($C432,'2_Control_de_Stock'!$A$11:$N$210,2,0),"⚠️ SKU no existe"))</f>
        <v/>
      </c>
      <c r="E432" s="24" t="n"/>
      <c r="F432" s="33">
        <f>IF($C432="","",IFERROR(VLOOKUP($C432,'2_Control_de_Stock'!$A$11:$N$210,11,0),0))</f>
        <v/>
      </c>
      <c r="G432" s="26">
        <f>IF(OR($C432="",$E432=""),"",$E432*$F432)</f>
        <v/>
      </c>
      <c r="H432" s="22" t="n"/>
      <c r="I432" s="33">
        <f>IF($C432="","",IFERROR($E432*VLOOKUP($C432,'2_Control_de_Stock'!$A$11:$N$210,10,0),0))</f>
        <v/>
      </c>
      <c r="J432" s="36">
        <f>IF($G432="","",$G432-$I432)</f>
        <v/>
      </c>
      <c r="K432" s="37">
        <f>IF($C432="","",IFERROR(VLOOKUP($C432,'2_Control_de_Stock'!$A$11:$N$210,3,0),""))</f>
        <v/>
      </c>
    </row>
    <row r="433">
      <c r="A433" s="21" t="n"/>
      <c r="B433" s="22" t="n"/>
      <c r="C433" s="22" t="n"/>
      <c r="D433" s="35">
        <f>IF($C433="","",IFERROR(VLOOKUP($C433,'2_Control_de_Stock'!$A$11:$N$210,2,0),"⚠️ SKU no existe"))</f>
        <v/>
      </c>
      <c r="E433" s="24" t="n"/>
      <c r="F433" s="33">
        <f>IF($C433="","",IFERROR(VLOOKUP($C433,'2_Control_de_Stock'!$A$11:$N$210,11,0),0))</f>
        <v/>
      </c>
      <c r="G433" s="26">
        <f>IF(OR($C433="",$E433=""),"",$E433*$F433)</f>
        <v/>
      </c>
      <c r="H433" s="22" t="n"/>
      <c r="I433" s="33">
        <f>IF($C433="","",IFERROR($E433*VLOOKUP($C433,'2_Control_de_Stock'!$A$11:$N$210,10,0),0))</f>
        <v/>
      </c>
      <c r="J433" s="36">
        <f>IF($G433="","",$G433-$I433)</f>
        <v/>
      </c>
      <c r="K433" s="37">
        <f>IF($C433="","",IFERROR(VLOOKUP($C433,'2_Control_de_Stock'!$A$11:$N$210,3,0),""))</f>
        <v/>
      </c>
    </row>
    <row r="434">
      <c r="A434" s="21" t="n"/>
      <c r="B434" s="22" t="n"/>
      <c r="C434" s="22" t="n"/>
      <c r="D434" s="35">
        <f>IF($C434="","",IFERROR(VLOOKUP($C434,'2_Control_de_Stock'!$A$11:$N$210,2,0),"⚠️ SKU no existe"))</f>
        <v/>
      </c>
      <c r="E434" s="24" t="n"/>
      <c r="F434" s="33">
        <f>IF($C434="","",IFERROR(VLOOKUP($C434,'2_Control_de_Stock'!$A$11:$N$210,11,0),0))</f>
        <v/>
      </c>
      <c r="G434" s="26">
        <f>IF(OR($C434="",$E434=""),"",$E434*$F434)</f>
        <v/>
      </c>
      <c r="H434" s="22" t="n"/>
      <c r="I434" s="33">
        <f>IF($C434="","",IFERROR($E434*VLOOKUP($C434,'2_Control_de_Stock'!$A$11:$N$210,10,0),0))</f>
        <v/>
      </c>
      <c r="J434" s="36">
        <f>IF($G434="","",$G434-$I434)</f>
        <v/>
      </c>
      <c r="K434" s="37">
        <f>IF($C434="","",IFERROR(VLOOKUP($C434,'2_Control_de_Stock'!$A$11:$N$210,3,0),""))</f>
        <v/>
      </c>
    </row>
    <row r="435">
      <c r="A435" s="21" t="n"/>
      <c r="B435" s="22" t="n"/>
      <c r="C435" s="22" t="n"/>
      <c r="D435" s="35">
        <f>IF($C435="","",IFERROR(VLOOKUP($C435,'2_Control_de_Stock'!$A$11:$N$210,2,0),"⚠️ SKU no existe"))</f>
        <v/>
      </c>
      <c r="E435" s="24" t="n"/>
      <c r="F435" s="33">
        <f>IF($C435="","",IFERROR(VLOOKUP($C435,'2_Control_de_Stock'!$A$11:$N$210,11,0),0))</f>
        <v/>
      </c>
      <c r="G435" s="26">
        <f>IF(OR($C435="",$E435=""),"",$E435*$F435)</f>
        <v/>
      </c>
      <c r="H435" s="22" t="n"/>
      <c r="I435" s="33">
        <f>IF($C435="","",IFERROR($E435*VLOOKUP($C435,'2_Control_de_Stock'!$A$11:$N$210,10,0),0))</f>
        <v/>
      </c>
      <c r="J435" s="36">
        <f>IF($G435="","",$G435-$I435)</f>
        <v/>
      </c>
      <c r="K435" s="37">
        <f>IF($C435="","",IFERROR(VLOOKUP($C435,'2_Control_de_Stock'!$A$11:$N$210,3,0),""))</f>
        <v/>
      </c>
    </row>
    <row r="436">
      <c r="A436" s="21" t="n"/>
      <c r="B436" s="22" t="n"/>
      <c r="C436" s="22" t="n"/>
      <c r="D436" s="35">
        <f>IF($C436="","",IFERROR(VLOOKUP($C436,'2_Control_de_Stock'!$A$11:$N$210,2,0),"⚠️ SKU no existe"))</f>
        <v/>
      </c>
      <c r="E436" s="24" t="n"/>
      <c r="F436" s="33">
        <f>IF($C436="","",IFERROR(VLOOKUP($C436,'2_Control_de_Stock'!$A$11:$N$210,11,0),0))</f>
        <v/>
      </c>
      <c r="G436" s="26">
        <f>IF(OR($C436="",$E436=""),"",$E436*$F436)</f>
        <v/>
      </c>
      <c r="H436" s="22" t="n"/>
      <c r="I436" s="33">
        <f>IF($C436="","",IFERROR($E436*VLOOKUP($C436,'2_Control_de_Stock'!$A$11:$N$210,10,0),0))</f>
        <v/>
      </c>
      <c r="J436" s="36">
        <f>IF($G436="","",$G436-$I436)</f>
        <v/>
      </c>
      <c r="K436" s="37">
        <f>IF($C436="","",IFERROR(VLOOKUP($C436,'2_Control_de_Stock'!$A$11:$N$210,3,0),""))</f>
        <v/>
      </c>
    </row>
    <row r="437">
      <c r="A437" s="21" t="n"/>
      <c r="B437" s="22" t="n"/>
      <c r="C437" s="22" t="n"/>
      <c r="D437" s="35">
        <f>IF($C437="","",IFERROR(VLOOKUP($C437,'2_Control_de_Stock'!$A$11:$N$210,2,0),"⚠️ SKU no existe"))</f>
        <v/>
      </c>
      <c r="E437" s="24" t="n"/>
      <c r="F437" s="33">
        <f>IF($C437="","",IFERROR(VLOOKUP($C437,'2_Control_de_Stock'!$A$11:$N$210,11,0),0))</f>
        <v/>
      </c>
      <c r="G437" s="26">
        <f>IF(OR($C437="",$E437=""),"",$E437*$F437)</f>
        <v/>
      </c>
      <c r="H437" s="22" t="n"/>
      <c r="I437" s="33">
        <f>IF($C437="","",IFERROR($E437*VLOOKUP($C437,'2_Control_de_Stock'!$A$11:$N$210,10,0),0))</f>
        <v/>
      </c>
      <c r="J437" s="36">
        <f>IF($G437="","",$G437-$I437)</f>
        <v/>
      </c>
      <c r="K437" s="37">
        <f>IF($C437="","",IFERROR(VLOOKUP($C437,'2_Control_de_Stock'!$A$11:$N$210,3,0),""))</f>
        <v/>
      </c>
    </row>
    <row r="438">
      <c r="A438" s="21" t="n"/>
      <c r="B438" s="22" t="n"/>
      <c r="C438" s="22" t="n"/>
      <c r="D438" s="35">
        <f>IF($C438="","",IFERROR(VLOOKUP($C438,'2_Control_de_Stock'!$A$11:$N$210,2,0),"⚠️ SKU no existe"))</f>
        <v/>
      </c>
      <c r="E438" s="24" t="n"/>
      <c r="F438" s="33">
        <f>IF($C438="","",IFERROR(VLOOKUP($C438,'2_Control_de_Stock'!$A$11:$N$210,11,0),0))</f>
        <v/>
      </c>
      <c r="G438" s="26">
        <f>IF(OR($C438="",$E438=""),"",$E438*$F438)</f>
        <v/>
      </c>
      <c r="H438" s="22" t="n"/>
      <c r="I438" s="33">
        <f>IF($C438="","",IFERROR($E438*VLOOKUP($C438,'2_Control_de_Stock'!$A$11:$N$210,10,0),0))</f>
        <v/>
      </c>
      <c r="J438" s="36">
        <f>IF($G438="","",$G438-$I438)</f>
        <v/>
      </c>
      <c r="K438" s="37">
        <f>IF($C438="","",IFERROR(VLOOKUP($C438,'2_Control_de_Stock'!$A$11:$N$210,3,0),""))</f>
        <v/>
      </c>
    </row>
    <row r="439">
      <c r="A439" s="21" t="n"/>
      <c r="B439" s="22" t="n"/>
      <c r="C439" s="22" t="n"/>
      <c r="D439" s="35">
        <f>IF($C439="","",IFERROR(VLOOKUP($C439,'2_Control_de_Stock'!$A$11:$N$210,2,0),"⚠️ SKU no existe"))</f>
        <v/>
      </c>
      <c r="E439" s="24" t="n"/>
      <c r="F439" s="33">
        <f>IF($C439="","",IFERROR(VLOOKUP($C439,'2_Control_de_Stock'!$A$11:$N$210,11,0),0))</f>
        <v/>
      </c>
      <c r="G439" s="26">
        <f>IF(OR($C439="",$E439=""),"",$E439*$F439)</f>
        <v/>
      </c>
      <c r="H439" s="22" t="n"/>
      <c r="I439" s="33">
        <f>IF($C439="","",IFERROR($E439*VLOOKUP($C439,'2_Control_de_Stock'!$A$11:$N$210,10,0),0))</f>
        <v/>
      </c>
      <c r="J439" s="36">
        <f>IF($G439="","",$G439-$I439)</f>
        <v/>
      </c>
      <c r="K439" s="37">
        <f>IF($C439="","",IFERROR(VLOOKUP($C439,'2_Control_de_Stock'!$A$11:$N$210,3,0),""))</f>
        <v/>
      </c>
    </row>
    <row r="440">
      <c r="A440" s="21" t="n"/>
      <c r="B440" s="22" t="n"/>
      <c r="C440" s="22" t="n"/>
      <c r="D440" s="35">
        <f>IF($C440="","",IFERROR(VLOOKUP($C440,'2_Control_de_Stock'!$A$11:$N$210,2,0),"⚠️ SKU no existe"))</f>
        <v/>
      </c>
      <c r="E440" s="24" t="n"/>
      <c r="F440" s="33">
        <f>IF($C440="","",IFERROR(VLOOKUP($C440,'2_Control_de_Stock'!$A$11:$N$210,11,0),0))</f>
        <v/>
      </c>
      <c r="G440" s="26">
        <f>IF(OR($C440="",$E440=""),"",$E440*$F440)</f>
        <v/>
      </c>
      <c r="H440" s="22" t="n"/>
      <c r="I440" s="33">
        <f>IF($C440="","",IFERROR($E440*VLOOKUP($C440,'2_Control_de_Stock'!$A$11:$N$210,10,0),0))</f>
        <v/>
      </c>
      <c r="J440" s="36">
        <f>IF($G440="","",$G440-$I440)</f>
        <v/>
      </c>
      <c r="K440" s="37">
        <f>IF($C440="","",IFERROR(VLOOKUP($C440,'2_Control_de_Stock'!$A$11:$N$210,3,0),""))</f>
        <v/>
      </c>
    </row>
    <row r="441">
      <c r="A441" s="21" t="n"/>
      <c r="B441" s="22" t="n"/>
      <c r="C441" s="22" t="n"/>
      <c r="D441" s="35">
        <f>IF($C441="","",IFERROR(VLOOKUP($C441,'2_Control_de_Stock'!$A$11:$N$210,2,0),"⚠️ SKU no existe"))</f>
        <v/>
      </c>
      <c r="E441" s="24" t="n"/>
      <c r="F441" s="33">
        <f>IF($C441="","",IFERROR(VLOOKUP($C441,'2_Control_de_Stock'!$A$11:$N$210,11,0),0))</f>
        <v/>
      </c>
      <c r="G441" s="26">
        <f>IF(OR($C441="",$E441=""),"",$E441*$F441)</f>
        <v/>
      </c>
      <c r="H441" s="22" t="n"/>
      <c r="I441" s="33">
        <f>IF($C441="","",IFERROR($E441*VLOOKUP($C441,'2_Control_de_Stock'!$A$11:$N$210,10,0),0))</f>
        <v/>
      </c>
      <c r="J441" s="36">
        <f>IF($G441="","",$G441-$I441)</f>
        <v/>
      </c>
      <c r="K441" s="37">
        <f>IF($C441="","",IFERROR(VLOOKUP($C441,'2_Control_de_Stock'!$A$11:$N$210,3,0),""))</f>
        <v/>
      </c>
    </row>
    <row r="442">
      <c r="A442" s="21" t="n"/>
      <c r="B442" s="22" t="n"/>
      <c r="C442" s="22" t="n"/>
      <c r="D442" s="35">
        <f>IF($C442="","",IFERROR(VLOOKUP($C442,'2_Control_de_Stock'!$A$11:$N$210,2,0),"⚠️ SKU no existe"))</f>
        <v/>
      </c>
      <c r="E442" s="24" t="n"/>
      <c r="F442" s="33">
        <f>IF($C442="","",IFERROR(VLOOKUP($C442,'2_Control_de_Stock'!$A$11:$N$210,11,0),0))</f>
        <v/>
      </c>
      <c r="G442" s="26">
        <f>IF(OR($C442="",$E442=""),"",$E442*$F442)</f>
        <v/>
      </c>
      <c r="H442" s="22" t="n"/>
      <c r="I442" s="33">
        <f>IF($C442="","",IFERROR($E442*VLOOKUP($C442,'2_Control_de_Stock'!$A$11:$N$210,10,0),0))</f>
        <v/>
      </c>
      <c r="J442" s="36">
        <f>IF($G442="","",$G442-$I442)</f>
        <v/>
      </c>
      <c r="K442" s="37">
        <f>IF($C442="","",IFERROR(VLOOKUP($C442,'2_Control_de_Stock'!$A$11:$N$210,3,0),""))</f>
        <v/>
      </c>
    </row>
    <row r="443">
      <c r="A443" s="21" t="n"/>
      <c r="B443" s="22" t="n"/>
      <c r="C443" s="22" t="n"/>
      <c r="D443" s="35">
        <f>IF($C443="","",IFERROR(VLOOKUP($C443,'2_Control_de_Stock'!$A$11:$N$210,2,0),"⚠️ SKU no existe"))</f>
        <v/>
      </c>
      <c r="E443" s="24" t="n"/>
      <c r="F443" s="33">
        <f>IF($C443="","",IFERROR(VLOOKUP($C443,'2_Control_de_Stock'!$A$11:$N$210,11,0),0))</f>
        <v/>
      </c>
      <c r="G443" s="26">
        <f>IF(OR($C443="",$E443=""),"",$E443*$F443)</f>
        <v/>
      </c>
      <c r="H443" s="22" t="n"/>
      <c r="I443" s="33">
        <f>IF($C443="","",IFERROR($E443*VLOOKUP($C443,'2_Control_de_Stock'!$A$11:$N$210,10,0),0))</f>
        <v/>
      </c>
      <c r="J443" s="36">
        <f>IF($G443="","",$G443-$I443)</f>
        <v/>
      </c>
      <c r="K443" s="37">
        <f>IF($C443="","",IFERROR(VLOOKUP($C443,'2_Control_de_Stock'!$A$11:$N$210,3,0),""))</f>
        <v/>
      </c>
    </row>
    <row r="444">
      <c r="A444" s="21" t="n"/>
      <c r="B444" s="22" t="n"/>
      <c r="C444" s="22" t="n"/>
      <c r="D444" s="35">
        <f>IF($C444="","",IFERROR(VLOOKUP($C444,'2_Control_de_Stock'!$A$11:$N$210,2,0),"⚠️ SKU no existe"))</f>
        <v/>
      </c>
      <c r="E444" s="24" t="n"/>
      <c r="F444" s="33">
        <f>IF($C444="","",IFERROR(VLOOKUP($C444,'2_Control_de_Stock'!$A$11:$N$210,11,0),0))</f>
        <v/>
      </c>
      <c r="G444" s="26">
        <f>IF(OR($C444="",$E444=""),"",$E444*$F444)</f>
        <v/>
      </c>
      <c r="H444" s="22" t="n"/>
      <c r="I444" s="33">
        <f>IF($C444="","",IFERROR($E444*VLOOKUP($C444,'2_Control_de_Stock'!$A$11:$N$210,10,0),0))</f>
        <v/>
      </c>
      <c r="J444" s="36">
        <f>IF($G444="","",$G444-$I444)</f>
        <v/>
      </c>
      <c r="K444" s="37">
        <f>IF($C444="","",IFERROR(VLOOKUP($C444,'2_Control_de_Stock'!$A$11:$N$210,3,0),""))</f>
        <v/>
      </c>
    </row>
    <row r="445">
      <c r="A445" s="21" t="n"/>
      <c r="B445" s="22" t="n"/>
      <c r="C445" s="22" t="n"/>
      <c r="D445" s="35">
        <f>IF($C445="","",IFERROR(VLOOKUP($C445,'2_Control_de_Stock'!$A$11:$N$210,2,0),"⚠️ SKU no existe"))</f>
        <v/>
      </c>
      <c r="E445" s="24" t="n"/>
      <c r="F445" s="33">
        <f>IF($C445="","",IFERROR(VLOOKUP($C445,'2_Control_de_Stock'!$A$11:$N$210,11,0),0))</f>
        <v/>
      </c>
      <c r="G445" s="26">
        <f>IF(OR($C445="",$E445=""),"",$E445*$F445)</f>
        <v/>
      </c>
      <c r="H445" s="22" t="n"/>
      <c r="I445" s="33">
        <f>IF($C445="","",IFERROR($E445*VLOOKUP($C445,'2_Control_de_Stock'!$A$11:$N$210,10,0),0))</f>
        <v/>
      </c>
      <c r="J445" s="36">
        <f>IF($G445="","",$G445-$I445)</f>
        <v/>
      </c>
      <c r="K445" s="37">
        <f>IF($C445="","",IFERROR(VLOOKUP($C445,'2_Control_de_Stock'!$A$11:$N$210,3,0),""))</f>
        <v/>
      </c>
    </row>
    <row r="446">
      <c r="A446" s="21" t="n"/>
      <c r="B446" s="22" t="n"/>
      <c r="C446" s="22" t="n"/>
      <c r="D446" s="35">
        <f>IF($C446="","",IFERROR(VLOOKUP($C446,'2_Control_de_Stock'!$A$11:$N$210,2,0),"⚠️ SKU no existe"))</f>
        <v/>
      </c>
      <c r="E446" s="24" t="n"/>
      <c r="F446" s="33">
        <f>IF($C446="","",IFERROR(VLOOKUP($C446,'2_Control_de_Stock'!$A$11:$N$210,11,0),0))</f>
        <v/>
      </c>
      <c r="G446" s="26">
        <f>IF(OR($C446="",$E446=""),"",$E446*$F446)</f>
        <v/>
      </c>
      <c r="H446" s="22" t="n"/>
      <c r="I446" s="33">
        <f>IF($C446="","",IFERROR($E446*VLOOKUP($C446,'2_Control_de_Stock'!$A$11:$N$210,10,0),0))</f>
        <v/>
      </c>
      <c r="J446" s="36">
        <f>IF($G446="","",$G446-$I446)</f>
        <v/>
      </c>
      <c r="K446" s="37">
        <f>IF($C446="","",IFERROR(VLOOKUP($C446,'2_Control_de_Stock'!$A$11:$N$210,3,0),""))</f>
        <v/>
      </c>
    </row>
    <row r="447">
      <c r="A447" s="21" t="n"/>
      <c r="B447" s="22" t="n"/>
      <c r="C447" s="22" t="n"/>
      <c r="D447" s="35">
        <f>IF($C447="","",IFERROR(VLOOKUP($C447,'2_Control_de_Stock'!$A$11:$N$210,2,0),"⚠️ SKU no existe"))</f>
        <v/>
      </c>
      <c r="E447" s="24" t="n"/>
      <c r="F447" s="33">
        <f>IF($C447="","",IFERROR(VLOOKUP($C447,'2_Control_de_Stock'!$A$11:$N$210,11,0),0))</f>
        <v/>
      </c>
      <c r="G447" s="26">
        <f>IF(OR($C447="",$E447=""),"",$E447*$F447)</f>
        <v/>
      </c>
      <c r="H447" s="22" t="n"/>
      <c r="I447" s="33">
        <f>IF($C447="","",IFERROR($E447*VLOOKUP($C447,'2_Control_de_Stock'!$A$11:$N$210,10,0),0))</f>
        <v/>
      </c>
      <c r="J447" s="36">
        <f>IF($G447="","",$G447-$I447)</f>
        <v/>
      </c>
      <c r="K447" s="37">
        <f>IF($C447="","",IFERROR(VLOOKUP($C447,'2_Control_de_Stock'!$A$11:$N$210,3,0),""))</f>
        <v/>
      </c>
    </row>
    <row r="448">
      <c r="A448" s="21" t="n"/>
      <c r="B448" s="22" t="n"/>
      <c r="C448" s="22" t="n"/>
      <c r="D448" s="35">
        <f>IF($C448="","",IFERROR(VLOOKUP($C448,'2_Control_de_Stock'!$A$11:$N$210,2,0),"⚠️ SKU no existe"))</f>
        <v/>
      </c>
      <c r="E448" s="24" t="n"/>
      <c r="F448" s="33">
        <f>IF($C448="","",IFERROR(VLOOKUP($C448,'2_Control_de_Stock'!$A$11:$N$210,11,0),0))</f>
        <v/>
      </c>
      <c r="G448" s="26">
        <f>IF(OR($C448="",$E448=""),"",$E448*$F448)</f>
        <v/>
      </c>
      <c r="H448" s="22" t="n"/>
      <c r="I448" s="33">
        <f>IF($C448="","",IFERROR($E448*VLOOKUP($C448,'2_Control_de_Stock'!$A$11:$N$210,10,0),0))</f>
        <v/>
      </c>
      <c r="J448" s="36">
        <f>IF($G448="","",$G448-$I448)</f>
        <v/>
      </c>
      <c r="K448" s="37">
        <f>IF($C448="","",IFERROR(VLOOKUP($C448,'2_Control_de_Stock'!$A$11:$N$210,3,0),""))</f>
        <v/>
      </c>
    </row>
    <row r="449">
      <c r="A449" s="21" t="n"/>
      <c r="B449" s="22" t="n"/>
      <c r="C449" s="22" t="n"/>
      <c r="D449" s="35">
        <f>IF($C449="","",IFERROR(VLOOKUP($C449,'2_Control_de_Stock'!$A$11:$N$210,2,0),"⚠️ SKU no existe"))</f>
        <v/>
      </c>
      <c r="E449" s="24" t="n"/>
      <c r="F449" s="33">
        <f>IF($C449="","",IFERROR(VLOOKUP($C449,'2_Control_de_Stock'!$A$11:$N$210,11,0),0))</f>
        <v/>
      </c>
      <c r="G449" s="26">
        <f>IF(OR($C449="",$E449=""),"",$E449*$F449)</f>
        <v/>
      </c>
      <c r="H449" s="22" t="n"/>
      <c r="I449" s="33">
        <f>IF($C449="","",IFERROR($E449*VLOOKUP($C449,'2_Control_de_Stock'!$A$11:$N$210,10,0),0))</f>
        <v/>
      </c>
      <c r="J449" s="36">
        <f>IF($G449="","",$G449-$I449)</f>
        <v/>
      </c>
      <c r="K449" s="37">
        <f>IF($C449="","",IFERROR(VLOOKUP($C449,'2_Control_de_Stock'!$A$11:$N$210,3,0),""))</f>
        <v/>
      </c>
    </row>
    <row r="450">
      <c r="A450" s="21" t="n"/>
      <c r="B450" s="22" t="n"/>
      <c r="C450" s="22" t="n"/>
      <c r="D450" s="35">
        <f>IF($C450="","",IFERROR(VLOOKUP($C450,'2_Control_de_Stock'!$A$11:$N$210,2,0),"⚠️ SKU no existe"))</f>
        <v/>
      </c>
      <c r="E450" s="24" t="n"/>
      <c r="F450" s="33">
        <f>IF($C450="","",IFERROR(VLOOKUP($C450,'2_Control_de_Stock'!$A$11:$N$210,11,0),0))</f>
        <v/>
      </c>
      <c r="G450" s="26">
        <f>IF(OR($C450="",$E450=""),"",$E450*$F450)</f>
        <v/>
      </c>
      <c r="H450" s="22" t="n"/>
      <c r="I450" s="33">
        <f>IF($C450="","",IFERROR($E450*VLOOKUP($C450,'2_Control_de_Stock'!$A$11:$N$210,10,0),0))</f>
        <v/>
      </c>
      <c r="J450" s="36">
        <f>IF($G450="","",$G450-$I450)</f>
        <v/>
      </c>
      <c r="K450" s="37">
        <f>IF($C450="","",IFERROR(VLOOKUP($C450,'2_Control_de_Stock'!$A$11:$N$210,3,0),""))</f>
        <v/>
      </c>
    </row>
    <row r="451">
      <c r="A451" s="21" t="n"/>
      <c r="B451" s="22" t="n"/>
      <c r="C451" s="22" t="n"/>
      <c r="D451" s="35">
        <f>IF($C451="","",IFERROR(VLOOKUP($C451,'2_Control_de_Stock'!$A$11:$N$210,2,0),"⚠️ SKU no existe"))</f>
        <v/>
      </c>
      <c r="E451" s="24" t="n"/>
      <c r="F451" s="33">
        <f>IF($C451="","",IFERROR(VLOOKUP($C451,'2_Control_de_Stock'!$A$11:$N$210,11,0),0))</f>
        <v/>
      </c>
      <c r="G451" s="26">
        <f>IF(OR($C451="",$E451=""),"",$E451*$F451)</f>
        <v/>
      </c>
      <c r="H451" s="22" t="n"/>
      <c r="I451" s="33">
        <f>IF($C451="","",IFERROR($E451*VLOOKUP($C451,'2_Control_de_Stock'!$A$11:$N$210,10,0),0))</f>
        <v/>
      </c>
      <c r="J451" s="36">
        <f>IF($G451="","",$G451-$I451)</f>
        <v/>
      </c>
      <c r="K451" s="37">
        <f>IF($C451="","",IFERROR(VLOOKUP($C451,'2_Control_de_Stock'!$A$11:$N$210,3,0),""))</f>
        <v/>
      </c>
    </row>
    <row r="452">
      <c r="A452" s="21" t="n"/>
      <c r="B452" s="22" t="n"/>
      <c r="C452" s="22" t="n"/>
      <c r="D452" s="35">
        <f>IF($C452="","",IFERROR(VLOOKUP($C452,'2_Control_de_Stock'!$A$11:$N$210,2,0),"⚠️ SKU no existe"))</f>
        <v/>
      </c>
      <c r="E452" s="24" t="n"/>
      <c r="F452" s="33">
        <f>IF($C452="","",IFERROR(VLOOKUP($C452,'2_Control_de_Stock'!$A$11:$N$210,11,0),0))</f>
        <v/>
      </c>
      <c r="G452" s="26">
        <f>IF(OR($C452="",$E452=""),"",$E452*$F452)</f>
        <v/>
      </c>
      <c r="H452" s="22" t="n"/>
      <c r="I452" s="33">
        <f>IF($C452="","",IFERROR($E452*VLOOKUP($C452,'2_Control_de_Stock'!$A$11:$N$210,10,0),0))</f>
        <v/>
      </c>
      <c r="J452" s="36">
        <f>IF($G452="","",$G452-$I452)</f>
        <v/>
      </c>
      <c r="K452" s="37">
        <f>IF($C452="","",IFERROR(VLOOKUP($C452,'2_Control_de_Stock'!$A$11:$N$210,3,0),""))</f>
        <v/>
      </c>
    </row>
    <row r="453">
      <c r="A453" s="21" t="n"/>
      <c r="B453" s="22" t="n"/>
      <c r="C453" s="22" t="n"/>
      <c r="D453" s="35">
        <f>IF($C453="","",IFERROR(VLOOKUP($C453,'2_Control_de_Stock'!$A$11:$N$210,2,0),"⚠️ SKU no existe"))</f>
        <v/>
      </c>
      <c r="E453" s="24" t="n"/>
      <c r="F453" s="33">
        <f>IF($C453="","",IFERROR(VLOOKUP($C453,'2_Control_de_Stock'!$A$11:$N$210,11,0),0))</f>
        <v/>
      </c>
      <c r="G453" s="26">
        <f>IF(OR($C453="",$E453=""),"",$E453*$F453)</f>
        <v/>
      </c>
      <c r="H453" s="22" t="n"/>
      <c r="I453" s="33">
        <f>IF($C453="","",IFERROR($E453*VLOOKUP($C453,'2_Control_de_Stock'!$A$11:$N$210,10,0),0))</f>
        <v/>
      </c>
      <c r="J453" s="36">
        <f>IF($G453="","",$G453-$I453)</f>
        <v/>
      </c>
      <c r="K453" s="37">
        <f>IF($C453="","",IFERROR(VLOOKUP($C453,'2_Control_de_Stock'!$A$11:$N$210,3,0),""))</f>
        <v/>
      </c>
    </row>
    <row r="454">
      <c r="A454" s="21" t="n"/>
      <c r="B454" s="22" t="n"/>
      <c r="C454" s="22" t="n"/>
      <c r="D454" s="35">
        <f>IF($C454="","",IFERROR(VLOOKUP($C454,'2_Control_de_Stock'!$A$11:$N$210,2,0),"⚠️ SKU no existe"))</f>
        <v/>
      </c>
      <c r="E454" s="24" t="n"/>
      <c r="F454" s="33">
        <f>IF($C454="","",IFERROR(VLOOKUP($C454,'2_Control_de_Stock'!$A$11:$N$210,11,0),0))</f>
        <v/>
      </c>
      <c r="G454" s="26">
        <f>IF(OR($C454="",$E454=""),"",$E454*$F454)</f>
        <v/>
      </c>
      <c r="H454" s="22" t="n"/>
      <c r="I454" s="33">
        <f>IF($C454="","",IFERROR($E454*VLOOKUP($C454,'2_Control_de_Stock'!$A$11:$N$210,10,0),0))</f>
        <v/>
      </c>
      <c r="J454" s="36">
        <f>IF($G454="","",$G454-$I454)</f>
        <v/>
      </c>
      <c r="K454" s="37">
        <f>IF($C454="","",IFERROR(VLOOKUP($C454,'2_Control_de_Stock'!$A$11:$N$210,3,0),""))</f>
        <v/>
      </c>
    </row>
    <row r="455">
      <c r="A455" s="21" t="n"/>
      <c r="B455" s="22" t="n"/>
      <c r="C455" s="22" t="n"/>
      <c r="D455" s="35">
        <f>IF($C455="","",IFERROR(VLOOKUP($C455,'2_Control_de_Stock'!$A$11:$N$210,2,0),"⚠️ SKU no existe"))</f>
        <v/>
      </c>
      <c r="E455" s="24" t="n"/>
      <c r="F455" s="33">
        <f>IF($C455="","",IFERROR(VLOOKUP($C455,'2_Control_de_Stock'!$A$11:$N$210,11,0),0))</f>
        <v/>
      </c>
      <c r="G455" s="26">
        <f>IF(OR($C455="",$E455=""),"",$E455*$F455)</f>
        <v/>
      </c>
      <c r="H455" s="22" t="n"/>
      <c r="I455" s="33">
        <f>IF($C455="","",IFERROR($E455*VLOOKUP($C455,'2_Control_de_Stock'!$A$11:$N$210,10,0),0))</f>
        <v/>
      </c>
      <c r="J455" s="36">
        <f>IF($G455="","",$G455-$I455)</f>
        <v/>
      </c>
      <c r="K455" s="37">
        <f>IF($C455="","",IFERROR(VLOOKUP($C455,'2_Control_de_Stock'!$A$11:$N$210,3,0),""))</f>
        <v/>
      </c>
    </row>
    <row r="456">
      <c r="A456" s="21" t="n"/>
      <c r="B456" s="22" t="n"/>
      <c r="C456" s="22" t="n"/>
      <c r="D456" s="35">
        <f>IF($C456="","",IFERROR(VLOOKUP($C456,'2_Control_de_Stock'!$A$11:$N$210,2,0),"⚠️ SKU no existe"))</f>
        <v/>
      </c>
      <c r="E456" s="24" t="n"/>
      <c r="F456" s="33">
        <f>IF($C456="","",IFERROR(VLOOKUP($C456,'2_Control_de_Stock'!$A$11:$N$210,11,0),0))</f>
        <v/>
      </c>
      <c r="G456" s="26">
        <f>IF(OR($C456="",$E456=""),"",$E456*$F456)</f>
        <v/>
      </c>
      <c r="H456" s="22" t="n"/>
      <c r="I456" s="33">
        <f>IF($C456="","",IFERROR($E456*VLOOKUP($C456,'2_Control_de_Stock'!$A$11:$N$210,10,0),0))</f>
        <v/>
      </c>
      <c r="J456" s="36">
        <f>IF($G456="","",$G456-$I456)</f>
        <v/>
      </c>
      <c r="K456" s="37">
        <f>IF($C456="","",IFERROR(VLOOKUP($C456,'2_Control_de_Stock'!$A$11:$N$210,3,0),""))</f>
        <v/>
      </c>
    </row>
    <row r="457">
      <c r="A457" s="21" t="n"/>
      <c r="B457" s="22" t="n"/>
      <c r="C457" s="22" t="n"/>
      <c r="D457" s="35">
        <f>IF($C457="","",IFERROR(VLOOKUP($C457,'2_Control_de_Stock'!$A$11:$N$210,2,0),"⚠️ SKU no existe"))</f>
        <v/>
      </c>
      <c r="E457" s="24" t="n"/>
      <c r="F457" s="33">
        <f>IF($C457="","",IFERROR(VLOOKUP($C457,'2_Control_de_Stock'!$A$11:$N$210,11,0),0))</f>
        <v/>
      </c>
      <c r="G457" s="26">
        <f>IF(OR($C457="",$E457=""),"",$E457*$F457)</f>
        <v/>
      </c>
      <c r="H457" s="22" t="n"/>
      <c r="I457" s="33">
        <f>IF($C457="","",IFERROR($E457*VLOOKUP($C457,'2_Control_de_Stock'!$A$11:$N$210,10,0),0))</f>
        <v/>
      </c>
      <c r="J457" s="36">
        <f>IF($G457="","",$G457-$I457)</f>
        <v/>
      </c>
      <c r="K457" s="37">
        <f>IF($C457="","",IFERROR(VLOOKUP($C457,'2_Control_de_Stock'!$A$11:$N$210,3,0),""))</f>
        <v/>
      </c>
    </row>
    <row r="458">
      <c r="A458" s="21" t="n"/>
      <c r="B458" s="22" t="n"/>
      <c r="C458" s="22" t="n"/>
      <c r="D458" s="35">
        <f>IF($C458="","",IFERROR(VLOOKUP($C458,'2_Control_de_Stock'!$A$11:$N$210,2,0),"⚠️ SKU no existe"))</f>
        <v/>
      </c>
      <c r="E458" s="24" t="n"/>
      <c r="F458" s="33">
        <f>IF($C458="","",IFERROR(VLOOKUP($C458,'2_Control_de_Stock'!$A$11:$N$210,11,0),0))</f>
        <v/>
      </c>
      <c r="G458" s="26">
        <f>IF(OR($C458="",$E458=""),"",$E458*$F458)</f>
        <v/>
      </c>
      <c r="H458" s="22" t="n"/>
      <c r="I458" s="33">
        <f>IF($C458="","",IFERROR($E458*VLOOKUP($C458,'2_Control_de_Stock'!$A$11:$N$210,10,0),0))</f>
        <v/>
      </c>
      <c r="J458" s="36">
        <f>IF($G458="","",$G458-$I458)</f>
        <v/>
      </c>
      <c r="K458" s="37">
        <f>IF($C458="","",IFERROR(VLOOKUP($C458,'2_Control_de_Stock'!$A$11:$N$210,3,0),""))</f>
        <v/>
      </c>
    </row>
    <row r="459">
      <c r="A459" s="21" t="n"/>
      <c r="B459" s="22" t="n"/>
      <c r="C459" s="22" t="n"/>
      <c r="D459" s="35">
        <f>IF($C459="","",IFERROR(VLOOKUP($C459,'2_Control_de_Stock'!$A$11:$N$210,2,0),"⚠️ SKU no existe"))</f>
        <v/>
      </c>
      <c r="E459" s="24" t="n"/>
      <c r="F459" s="33">
        <f>IF($C459="","",IFERROR(VLOOKUP($C459,'2_Control_de_Stock'!$A$11:$N$210,11,0),0))</f>
        <v/>
      </c>
      <c r="G459" s="26">
        <f>IF(OR($C459="",$E459=""),"",$E459*$F459)</f>
        <v/>
      </c>
      <c r="H459" s="22" t="n"/>
      <c r="I459" s="33">
        <f>IF($C459="","",IFERROR($E459*VLOOKUP($C459,'2_Control_de_Stock'!$A$11:$N$210,10,0),0))</f>
        <v/>
      </c>
      <c r="J459" s="36">
        <f>IF($G459="","",$G459-$I459)</f>
        <v/>
      </c>
      <c r="K459" s="37">
        <f>IF($C459="","",IFERROR(VLOOKUP($C459,'2_Control_de_Stock'!$A$11:$N$210,3,0),""))</f>
        <v/>
      </c>
    </row>
    <row r="460">
      <c r="A460" s="21" t="n"/>
      <c r="B460" s="22" t="n"/>
      <c r="C460" s="22" t="n"/>
      <c r="D460" s="35">
        <f>IF($C460="","",IFERROR(VLOOKUP($C460,'2_Control_de_Stock'!$A$11:$N$210,2,0),"⚠️ SKU no existe"))</f>
        <v/>
      </c>
      <c r="E460" s="24" t="n"/>
      <c r="F460" s="33">
        <f>IF($C460="","",IFERROR(VLOOKUP($C460,'2_Control_de_Stock'!$A$11:$N$210,11,0),0))</f>
        <v/>
      </c>
      <c r="G460" s="26">
        <f>IF(OR($C460="",$E460=""),"",$E460*$F460)</f>
        <v/>
      </c>
      <c r="H460" s="22" t="n"/>
      <c r="I460" s="33">
        <f>IF($C460="","",IFERROR($E460*VLOOKUP($C460,'2_Control_de_Stock'!$A$11:$N$210,10,0),0))</f>
        <v/>
      </c>
      <c r="J460" s="36">
        <f>IF($G460="","",$G460-$I460)</f>
        <v/>
      </c>
      <c r="K460" s="37">
        <f>IF($C460="","",IFERROR(VLOOKUP($C460,'2_Control_de_Stock'!$A$11:$N$210,3,0),""))</f>
        <v/>
      </c>
    </row>
    <row r="461">
      <c r="A461" s="21" t="n"/>
      <c r="B461" s="22" t="n"/>
      <c r="C461" s="22" t="n"/>
      <c r="D461" s="35">
        <f>IF($C461="","",IFERROR(VLOOKUP($C461,'2_Control_de_Stock'!$A$11:$N$210,2,0),"⚠️ SKU no existe"))</f>
        <v/>
      </c>
      <c r="E461" s="24" t="n"/>
      <c r="F461" s="33">
        <f>IF($C461="","",IFERROR(VLOOKUP($C461,'2_Control_de_Stock'!$A$11:$N$210,11,0),0))</f>
        <v/>
      </c>
      <c r="G461" s="26">
        <f>IF(OR($C461="",$E461=""),"",$E461*$F461)</f>
        <v/>
      </c>
      <c r="H461" s="22" t="n"/>
      <c r="I461" s="33">
        <f>IF($C461="","",IFERROR($E461*VLOOKUP($C461,'2_Control_de_Stock'!$A$11:$N$210,10,0),0))</f>
        <v/>
      </c>
      <c r="J461" s="36">
        <f>IF($G461="","",$G461-$I461)</f>
        <v/>
      </c>
      <c r="K461" s="37">
        <f>IF($C461="","",IFERROR(VLOOKUP($C461,'2_Control_de_Stock'!$A$11:$N$210,3,0),""))</f>
        <v/>
      </c>
    </row>
    <row r="462">
      <c r="A462" s="21" t="n"/>
      <c r="B462" s="22" t="n"/>
      <c r="C462" s="22" t="n"/>
      <c r="D462" s="35">
        <f>IF($C462="","",IFERROR(VLOOKUP($C462,'2_Control_de_Stock'!$A$11:$N$210,2,0),"⚠️ SKU no existe"))</f>
        <v/>
      </c>
      <c r="E462" s="24" t="n"/>
      <c r="F462" s="33">
        <f>IF($C462="","",IFERROR(VLOOKUP($C462,'2_Control_de_Stock'!$A$11:$N$210,11,0),0))</f>
        <v/>
      </c>
      <c r="G462" s="26">
        <f>IF(OR($C462="",$E462=""),"",$E462*$F462)</f>
        <v/>
      </c>
      <c r="H462" s="22" t="n"/>
      <c r="I462" s="33">
        <f>IF($C462="","",IFERROR($E462*VLOOKUP($C462,'2_Control_de_Stock'!$A$11:$N$210,10,0),0))</f>
        <v/>
      </c>
      <c r="J462" s="36">
        <f>IF($G462="","",$G462-$I462)</f>
        <v/>
      </c>
      <c r="K462" s="37">
        <f>IF($C462="","",IFERROR(VLOOKUP($C462,'2_Control_de_Stock'!$A$11:$N$210,3,0),""))</f>
        <v/>
      </c>
    </row>
    <row r="463">
      <c r="A463" s="21" t="n"/>
      <c r="B463" s="22" t="n"/>
      <c r="C463" s="22" t="n"/>
      <c r="D463" s="35">
        <f>IF($C463="","",IFERROR(VLOOKUP($C463,'2_Control_de_Stock'!$A$11:$N$210,2,0),"⚠️ SKU no existe"))</f>
        <v/>
      </c>
      <c r="E463" s="24" t="n"/>
      <c r="F463" s="33">
        <f>IF($C463="","",IFERROR(VLOOKUP($C463,'2_Control_de_Stock'!$A$11:$N$210,11,0),0))</f>
        <v/>
      </c>
      <c r="G463" s="26">
        <f>IF(OR($C463="",$E463=""),"",$E463*$F463)</f>
        <v/>
      </c>
      <c r="H463" s="22" t="n"/>
      <c r="I463" s="33">
        <f>IF($C463="","",IFERROR($E463*VLOOKUP($C463,'2_Control_de_Stock'!$A$11:$N$210,10,0),0))</f>
        <v/>
      </c>
      <c r="J463" s="36">
        <f>IF($G463="","",$G463-$I463)</f>
        <v/>
      </c>
      <c r="K463" s="37">
        <f>IF($C463="","",IFERROR(VLOOKUP($C463,'2_Control_de_Stock'!$A$11:$N$210,3,0),""))</f>
        <v/>
      </c>
    </row>
    <row r="464">
      <c r="A464" s="21" t="n"/>
      <c r="B464" s="22" t="n"/>
      <c r="C464" s="22" t="n"/>
      <c r="D464" s="35">
        <f>IF($C464="","",IFERROR(VLOOKUP($C464,'2_Control_de_Stock'!$A$11:$N$210,2,0),"⚠️ SKU no existe"))</f>
        <v/>
      </c>
      <c r="E464" s="24" t="n"/>
      <c r="F464" s="33">
        <f>IF($C464="","",IFERROR(VLOOKUP($C464,'2_Control_de_Stock'!$A$11:$N$210,11,0),0))</f>
        <v/>
      </c>
      <c r="G464" s="26">
        <f>IF(OR($C464="",$E464=""),"",$E464*$F464)</f>
        <v/>
      </c>
      <c r="H464" s="22" t="n"/>
      <c r="I464" s="33">
        <f>IF($C464="","",IFERROR($E464*VLOOKUP($C464,'2_Control_de_Stock'!$A$11:$N$210,10,0),0))</f>
        <v/>
      </c>
      <c r="J464" s="36">
        <f>IF($G464="","",$G464-$I464)</f>
        <v/>
      </c>
      <c r="K464" s="37">
        <f>IF($C464="","",IFERROR(VLOOKUP($C464,'2_Control_de_Stock'!$A$11:$N$210,3,0),""))</f>
        <v/>
      </c>
    </row>
    <row r="465">
      <c r="A465" s="21" t="n"/>
      <c r="B465" s="22" t="n"/>
      <c r="C465" s="22" t="n"/>
      <c r="D465" s="35">
        <f>IF($C465="","",IFERROR(VLOOKUP($C465,'2_Control_de_Stock'!$A$11:$N$210,2,0),"⚠️ SKU no existe"))</f>
        <v/>
      </c>
      <c r="E465" s="24" t="n"/>
      <c r="F465" s="33">
        <f>IF($C465="","",IFERROR(VLOOKUP($C465,'2_Control_de_Stock'!$A$11:$N$210,11,0),0))</f>
        <v/>
      </c>
      <c r="G465" s="26">
        <f>IF(OR($C465="",$E465=""),"",$E465*$F465)</f>
        <v/>
      </c>
      <c r="H465" s="22" t="n"/>
      <c r="I465" s="33">
        <f>IF($C465="","",IFERROR($E465*VLOOKUP($C465,'2_Control_de_Stock'!$A$11:$N$210,10,0),0))</f>
        <v/>
      </c>
      <c r="J465" s="36">
        <f>IF($G465="","",$G465-$I465)</f>
        <v/>
      </c>
      <c r="K465" s="37">
        <f>IF($C465="","",IFERROR(VLOOKUP($C465,'2_Control_de_Stock'!$A$11:$N$210,3,0),""))</f>
        <v/>
      </c>
    </row>
    <row r="466">
      <c r="A466" s="21" t="n"/>
      <c r="B466" s="22" t="n"/>
      <c r="C466" s="22" t="n"/>
      <c r="D466" s="35">
        <f>IF($C466="","",IFERROR(VLOOKUP($C466,'2_Control_de_Stock'!$A$11:$N$210,2,0),"⚠️ SKU no existe"))</f>
        <v/>
      </c>
      <c r="E466" s="24" t="n"/>
      <c r="F466" s="33">
        <f>IF($C466="","",IFERROR(VLOOKUP($C466,'2_Control_de_Stock'!$A$11:$N$210,11,0),0))</f>
        <v/>
      </c>
      <c r="G466" s="26">
        <f>IF(OR($C466="",$E466=""),"",$E466*$F466)</f>
        <v/>
      </c>
      <c r="H466" s="22" t="n"/>
      <c r="I466" s="33">
        <f>IF($C466="","",IFERROR($E466*VLOOKUP($C466,'2_Control_de_Stock'!$A$11:$N$210,10,0),0))</f>
        <v/>
      </c>
      <c r="J466" s="36">
        <f>IF($G466="","",$G466-$I466)</f>
        <v/>
      </c>
      <c r="K466" s="37">
        <f>IF($C466="","",IFERROR(VLOOKUP($C466,'2_Control_de_Stock'!$A$11:$N$210,3,0),""))</f>
        <v/>
      </c>
    </row>
    <row r="467">
      <c r="A467" s="21" t="n"/>
      <c r="B467" s="22" t="n"/>
      <c r="C467" s="22" t="n"/>
      <c r="D467" s="35">
        <f>IF($C467="","",IFERROR(VLOOKUP($C467,'2_Control_de_Stock'!$A$11:$N$210,2,0),"⚠️ SKU no existe"))</f>
        <v/>
      </c>
      <c r="E467" s="24" t="n"/>
      <c r="F467" s="33">
        <f>IF($C467="","",IFERROR(VLOOKUP($C467,'2_Control_de_Stock'!$A$11:$N$210,11,0),0))</f>
        <v/>
      </c>
      <c r="G467" s="26">
        <f>IF(OR($C467="",$E467=""),"",$E467*$F467)</f>
        <v/>
      </c>
      <c r="H467" s="22" t="n"/>
      <c r="I467" s="33">
        <f>IF($C467="","",IFERROR($E467*VLOOKUP($C467,'2_Control_de_Stock'!$A$11:$N$210,10,0),0))</f>
        <v/>
      </c>
      <c r="J467" s="36">
        <f>IF($G467="","",$G467-$I467)</f>
        <v/>
      </c>
      <c r="K467" s="37">
        <f>IF($C467="","",IFERROR(VLOOKUP($C467,'2_Control_de_Stock'!$A$11:$N$210,3,0),""))</f>
        <v/>
      </c>
    </row>
    <row r="468">
      <c r="A468" s="21" t="n"/>
      <c r="B468" s="22" t="n"/>
      <c r="C468" s="22" t="n"/>
      <c r="D468" s="35">
        <f>IF($C468="","",IFERROR(VLOOKUP($C468,'2_Control_de_Stock'!$A$11:$N$210,2,0),"⚠️ SKU no existe"))</f>
        <v/>
      </c>
      <c r="E468" s="24" t="n"/>
      <c r="F468" s="33">
        <f>IF($C468="","",IFERROR(VLOOKUP($C468,'2_Control_de_Stock'!$A$11:$N$210,11,0),0))</f>
        <v/>
      </c>
      <c r="G468" s="26">
        <f>IF(OR($C468="",$E468=""),"",$E468*$F468)</f>
        <v/>
      </c>
      <c r="H468" s="22" t="n"/>
      <c r="I468" s="33">
        <f>IF($C468="","",IFERROR($E468*VLOOKUP($C468,'2_Control_de_Stock'!$A$11:$N$210,10,0),0))</f>
        <v/>
      </c>
      <c r="J468" s="36">
        <f>IF($G468="","",$G468-$I468)</f>
        <v/>
      </c>
      <c r="K468" s="37">
        <f>IF($C468="","",IFERROR(VLOOKUP($C468,'2_Control_de_Stock'!$A$11:$N$210,3,0),""))</f>
        <v/>
      </c>
    </row>
    <row r="469">
      <c r="A469" s="21" t="n"/>
      <c r="B469" s="22" t="n"/>
      <c r="C469" s="22" t="n"/>
      <c r="D469" s="35">
        <f>IF($C469="","",IFERROR(VLOOKUP($C469,'2_Control_de_Stock'!$A$11:$N$210,2,0),"⚠️ SKU no existe"))</f>
        <v/>
      </c>
      <c r="E469" s="24" t="n"/>
      <c r="F469" s="33">
        <f>IF($C469="","",IFERROR(VLOOKUP($C469,'2_Control_de_Stock'!$A$11:$N$210,11,0),0))</f>
        <v/>
      </c>
      <c r="G469" s="26">
        <f>IF(OR($C469="",$E469=""),"",$E469*$F469)</f>
        <v/>
      </c>
      <c r="H469" s="22" t="n"/>
      <c r="I469" s="33">
        <f>IF($C469="","",IFERROR($E469*VLOOKUP($C469,'2_Control_de_Stock'!$A$11:$N$210,10,0),0))</f>
        <v/>
      </c>
      <c r="J469" s="36">
        <f>IF($G469="","",$G469-$I469)</f>
        <v/>
      </c>
      <c r="K469" s="37">
        <f>IF($C469="","",IFERROR(VLOOKUP($C469,'2_Control_de_Stock'!$A$11:$N$210,3,0),""))</f>
        <v/>
      </c>
    </row>
    <row r="470">
      <c r="A470" s="21" t="n"/>
      <c r="B470" s="22" t="n"/>
      <c r="C470" s="22" t="n"/>
      <c r="D470" s="35">
        <f>IF($C470="","",IFERROR(VLOOKUP($C470,'2_Control_de_Stock'!$A$11:$N$210,2,0),"⚠️ SKU no existe"))</f>
        <v/>
      </c>
      <c r="E470" s="24" t="n"/>
      <c r="F470" s="33">
        <f>IF($C470="","",IFERROR(VLOOKUP($C470,'2_Control_de_Stock'!$A$11:$N$210,11,0),0))</f>
        <v/>
      </c>
      <c r="G470" s="26">
        <f>IF(OR($C470="",$E470=""),"",$E470*$F470)</f>
        <v/>
      </c>
      <c r="H470" s="22" t="n"/>
      <c r="I470" s="33">
        <f>IF($C470="","",IFERROR($E470*VLOOKUP($C470,'2_Control_de_Stock'!$A$11:$N$210,10,0),0))</f>
        <v/>
      </c>
      <c r="J470" s="36">
        <f>IF($G470="","",$G470-$I470)</f>
        <v/>
      </c>
      <c r="K470" s="37">
        <f>IF($C470="","",IFERROR(VLOOKUP($C470,'2_Control_de_Stock'!$A$11:$N$210,3,0),""))</f>
        <v/>
      </c>
    </row>
    <row r="471">
      <c r="A471" s="21" t="n"/>
      <c r="B471" s="22" t="n"/>
      <c r="C471" s="22" t="n"/>
      <c r="D471" s="35">
        <f>IF($C471="","",IFERROR(VLOOKUP($C471,'2_Control_de_Stock'!$A$11:$N$210,2,0),"⚠️ SKU no existe"))</f>
        <v/>
      </c>
      <c r="E471" s="24" t="n"/>
      <c r="F471" s="33">
        <f>IF($C471="","",IFERROR(VLOOKUP($C471,'2_Control_de_Stock'!$A$11:$N$210,11,0),0))</f>
        <v/>
      </c>
      <c r="G471" s="26">
        <f>IF(OR($C471="",$E471=""),"",$E471*$F471)</f>
        <v/>
      </c>
      <c r="H471" s="22" t="n"/>
      <c r="I471" s="33">
        <f>IF($C471="","",IFERROR($E471*VLOOKUP($C471,'2_Control_de_Stock'!$A$11:$N$210,10,0),0))</f>
        <v/>
      </c>
      <c r="J471" s="36">
        <f>IF($G471="","",$G471-$I471)</f>
        <v/>
      </c>
      <c r="K471" s="37">
        <f>IF($C471="","",IFERROR(VLOOKUP($C471,'2_Control_de_Stock'!$A$11:$N$210,3,0),""))</f>
        <v/>
      </c>
    </row>
    <row r="472">
      <c r="A472" s="21" t="n"/>
      <c r="B472" s="22" t="n"/>
      <c r="C472" s="22" t="n"/>
      <c r="D472" s="35">
        <f>IF($C472="","",IFERROR(VLOOKUP($C472,'2_Control_de_Stock'!$A$11:$N$210,2,0),"⚠️ SKU no existe"))</f>
        <v/>
      </c>
      <c r="E472" s="24" t="n"/>
      <c r="F472" s="33">
        <f>IF($C472="","",IFERROR(VLOOKUP($C472,'2_Control_de_Stock'!$A$11:$N$210,11,0),0))</f>
        <v/>
      </c>
      <c r="G472" s="26">
        <f>IF(OR($C472="",$E472=""),"",$E472*$F472)</f>
        <v/>
      </c>
      <c r="H472" s="22" t="n"/>
      <c r="I472" s="33">
        <f>IF($C472="","",IFERROR($E472*VLOOKUP($C472,'2_Control_de_Stock'!$A$11:$N$210,10,0),0))</f>
        <v/>
      </c>
      <c r="J472" s="36">
        <f>IF($G472="","",$G472-$I472)</f>
        <v/>
      </c>
      <c r="K472" s="37">
        <f>IF($C472="","",IFERROR(VLOOKUP($C472,'2_Control_de_Stock'!$A$11:$N$210,3,0),""))</f>
        <v/>
      </c>
    </row>
    <row r="473">
      <c r="A473" s="21" t="n"/>
      <c r="B473" s="22" t="n"/>
      <c r="C473" s="22" t="n"/>
      <c r="D473" s="35">
        <f>IF($C473="","",IFERROR(VLOOKUP($C473,'2_Control_de_Stock'!$A$11:$N$210,2,0),"⚠️ SKU no existe"))</f>
        <v/>
      </c>
      <c r="E473" s="24" t="n"/>
      <c r="F473" s="33">
        <f>IF($C473="","",IFERROR(VLOOKUP($C473,'2_Control_de_Stock'!$A$11:$N$210,11,0),0))</f>
        <v/>
      </c>
      <c r="G473" s="26">
        <f>IF(OR($C473="",$E473=""),"",$E473*$F473)</f>
        <v/>
      </c>
      <c r="H473" s="22" t="n"/>
      <c r="I473" s="33">
        <f>IF($C473="","",IFERROR($E473*VLOOKUP($C473,'2_Control_de_Stock'!$A$11:$N$210,10,0),0))</f>
        <v/>
      </c>
      <c r="J473" s="36">
        <f>IF($G473="","",$G473-$I473)</f>
        <v/>
      </c>
      <c r="K473" s="37">
        <f>IF($C473="","",IFERROR(VLOOKUP($C473,'2_Control_de_Stock'!$A$11:$N$210,3,0),""))</f>
        <v/>
      </c>
    </row>
    <row r="474">
      <c r="A474" s="21" t="n"/>
      <c r="B474" s="22" t="n"/>
      <c r="C474" s="22" t="n"/>
      <c r="D474" s="35">
        <f>IF($C474="","",IFERROR(VLOOKUP($C474,'2_Control_de_Stock'!$A$11:$N$210,2,0),"⚠️ SKU no existe"))</f>
        <v/>
      </c>
      <c r="E474" s="24" t="n"/>
      <c r="F474" s="33">
        <f>IF($C474="","",IFERROR(VLOOKUP($C474,'2_Control_de_Stock'!$A$11:$N$210,11,0),0))</f>
        <v/>
      </c>
      <c r="G474" s="26">
        <f>IF(OR($C474="",$E474=""),"",$E474*$F474)</f>
        <v/>
      </c>
      <c r="H474" s="22" t="n"/>
      <c r="I474" s="33">
        <f>IF($C474="","",IFERROR($E474*VLOOKUP($C474,'2_Control_de_Stock'!$A$11:$N$210,10,0),0))</f>
        <v/>
      </c>
      <c r="J474" s="36">
        <f>IF($G474="","",$G474-$I474)</f>
        <v/>
      </c>
      <c r="K474" s="37">
        <f>IF($C474="","",IFERROR(VLOOKUP($C474,'2_Control_de_Stock'!$A$11:$N$210,3,0),""))</f>
        <v/>
      </c>
    </row>
    <row r="475">
      <c r="A475" s="21" t="n"/>
      <c r="B475" s="22" t="n"/>
      <c r="C475" s="22" t="n"/>
      <c r="D475" s="35">
        <f>IF($C475="","",IFERROR(VLOOKUP($C475,'2_Control_de_Stock'!$A$11:$N$210,2,0),"⚠️ SKU no existe"))</f>
        <v/>
      </c>
      <c r="E475" s="24" t="n"/>
      <c r="F475" s="33">
        <f>IF($C475="","",IFERROR(VLOOKUP($C475,'2_Control_de_Stock'!$A$11:$N$210,11,0),0))</f>
        <v/>
      </c>
      <c r="G475" s="26">
        <f>IF(OR($C475="",$E475=""),"",$E475*$F475)</f>
        <v/>
      </c>
      <c r="H475" s="22" t="n"/>
      <c r="I475" s="33">
        <f>IF($C475="","",IFERROR($E475*VLOOKUP($C475,'2_Control_de_Stock'!$A$11:$N$210,10,0),0))</f>
        <v/>
      </c>
      <c r="J475" s="36">
        <f>IF($G475="","",$G475-$I475)</f>
        <v/>
      </c>
      <c r="K475" s="37">
        <f>IF($C475="","",IFERROR(VLOOKUP($C475,'2_Control_de_Stock'!$A$11:$N$210,3,0),""))</f>
        <v/>
      </c>
    </row>
    <row r="476">
      <c r="A476" s="21" t="n"/>
      <c r="B476" s="22" t="n"/>
      <c r="C476" s="22" t="n"/>
      <c r="D476" s="35">
        <f>IF($C476="","",IFERROR(VLOOKUP($C476,'2_Control_de_Stock'!$A$11:$N$210,2,0),"⚠️ SKU no existe"))</f>
        <v/>
      </c>
      <c r="E476" s="24" t="n"/>
      <c r="F476" s="33">
        <f>IF($C476="","",IFERROR(VLOOKUP($C476,'2_Control_de_Stock'!$A$11:$N$210,11,0),0))</f>
        <v/>
      </c>
      <c r="G476" s="26">
        <f>IF(OR($C476="",$E476=""),"",$E476*$F476)</f>
        <v/>
      </c>
      <c r="H476" s="22" t="n"/>
      <c r="I476" s="33">
        <f>IF($C476="","",IFERROR($E476*VLOOKUP($C476,'2_Control_de_Stock'!$A$11:$N$210,10,0),0))</f>
        <v/>
      </c>
      <c r="J476" s="36">
        <f>IF($G476="","",$G476-$I476)</f>
        <v/>
      </c>
      <c r="K476" s="37">
        <f>IF($C476="","",IFERROR(VLOOKUP($C476,'2_Control_de_Stock'!$A$11:$N$210,3,0),""))</f>
        <v/>
      </c>
    </row>
    <row r="477">
      <c r="A477" s="21" t="n"/>
      <c r="B477" s="22" t="n"/>
      <c r="C477" s="22" t="n"/>
      <c r="D477" s="35">
        <f>IF($C477="","",IFERROR(VLOOKUP($C477,'2_Control_de_Stock'!$A$11:$N$210,2,0),"⚠️ SKU no existe"))</f>
        <v/>
      </c>
      <c r="E477" s="24" t="n"/>
      <c r="F477" s="33">
        <f>IF($C477="","",IFERROR(VLOOKUP($C477,'2_Control_de_Stock'!$A$11:$N$210,11,0),0))</f>
        <v/>
      </c>
      <c r="G477" s="26">
        <f>IF(OR($C477="",$E477=""),"",$E477*$F477)</f>
        <v/>
      </c>
      <c r="H477" s="22" t="n"/>
      <c r="I477" s="33">
        <f>IF($C477="","",IFERROR($E477*VLOOKUP($C477,'2_Control_de_Stock'!$A$11:$N$210,10,0),0))</f>
        <v/>
      </c>
      <c r="J477" s="36">
        <f>IF($G477="","",$G477-$I477)</f>
        <v/>
      </c>
      <c r="K477" s="37">
        <f>IF($C477="","",IFERROR(VLOOKUP($C477,'2_Control_de_Stock'!$A$11:$N$210,3,0),""))</f>
        <v/>
      </c>
    </row>
    <row r="478">
      <c r="A478" s="21" t="n"/>
      <c r="B478" s="22" t="n"/>
      <c r="C478" s="22" t="n"/>
      <c r="D478" s="35">
        <f>IF($C478="","",IFERROR(VLOOKUP($C478,'2_Control_de_Stock'!$A$11:$N$210,2,0),"⚠️ SKU no existe"))</f>
        <v/>
      </c>
      <c r="E478" s="24" t="n"/>
      <c r="F478" s="33">
        <f>IF($C478="","",IFERROR(VLOOKUP($C478,'2_Control_de_Stock'!$A$11:$N$210,11,0),0))</f>
        <v/>
      </c>
      <c r="G478" s="26">
        <f>IF(OR($C478="",$E478=""),"",$E478*$F478)</f>
        <v/>
      </c>
      <c r="H478" s="22" t="n"/>
      <c r="I478" s="33">
        <f>IF($C478="","",IFERROR($E478*VLOOKUP($C478,'2_Control_de_Stock'!$A$11:$N$210,10,0),0))</f>
        <v/>
      </c>
      <c r="J478" s="36">
        <f>IF($G478="","",$G478-$I478)</f>
        <v/>
      </c>
      <c r="K478" s="37">
        <f>IF($C478="","",IFERROR(VLOOKUP($C478,'2_Control_de_Stock'!$A$11:$N$210,3,0),""))</f>
        <v/>
      </c>
    </row>
    <row r="479">
      <c r="A479" s="21" t="n"/>
      <c r="B479" s="22" t="n"/>
      <c r="C479" s="22" t="n"/>
      <c r="D479" s="35">
        <f>IF($C479="","",IFERROR(VLOOKUP($C479,'2_Control_de_Stock'!$A$11:$N$210,2,0),"⚠️ SKU no existe"))</f>
        <v/>
      </c>
      <c r="E479" s="24" t="n"/>
      <c r="F479" s="33">
        <f>IF($C479="","",IFERROR(VLOOKUP($C479,'2_Control_de_Stock'!$A$11:$N$210,11,0),0))</f>
        <v/>
      </c>
      <c r="G479" s="26">
        <f>IF(OR($C479="",$E479=""),"",$E479*$F479)</f>
        <v/>
      </c>
      <c r="H479" s="22" t="n"/>
      <c r="I479" s="33">
        <f>IF($C479="","",IFERROR($E479*VLOOKUP($C479,'2_Control_de_Stock'!$A$11:$N$210,10,0),0))</f>
        <v/>
      </c>
      <c r="J479" s="36">
        <f>IF($G479="","",$G479-$I479)</f>
        <v/>
      </c>
      <c r="K479" s="37">
        <f>IF($C479="","",IFERROR(VLOOKUP($C479,'2_Control_de_Stock'!$A$11:$N$210,3,0),""))</f>
        <v/>
      </c>
    </row>
    <row r="480">
      <c r="A480" s="21" t="n"/>
      <c r="B480" s="22" t="n"/>
      <c r="C480" s="22" t="n"/>
      <c r="D480" s="35">
        <f>IF($C480="","",IFERROR(VLOOKUP($C480,'2_Control_de_Stock'!$A$11:$N$210,2,0),"⚠️ SKU no existe"))</f>
        <v/>
      </c>
      <c r="E480" s="24" t="n"/>
      <c r="F480" s="33">
        <f>IF($C480="","",IFERROR(VLOOKUP($C480,'2_Control_de_Stock'!$A$11:$N$210,11,0),0))</f>
        <v/>
      </c>
      <c r="G480" s="26">
        <f>IF(OR($C480="",$E480=""),"",$E480*$F480)</f>
        <v/>
      </c>
      <c r="H480" s="22" t="n"/>
      <c r="I480" s="33">
        <f>IF($C480="","",IFERROR($E480*VLOOKUP($C480,'2_Control_de_Stock'!$A$11:$N$210,10,0),0))</f>
        <v/>
      </c>
      <c r="J480" s="36">
        <f>IF($G480="","",$G480-$I480)</f>
        <v/>
      </c>
      <c r="K480" s="37">
        <f>IF($C480="","",IFERROR(VLOOKUP($C480,'2_Control_de_Stock'!$A$11:$N$210,3,0),""))</f>
        <v/>
      </c>
    </row>
    <row r="481">
      <c r="A481" s="21" t="n"/>
      <c r="B481" s="22" t="n"/>
      <c r="C481" s="22" t="n"/>
      <c r="D481" s="35">
        <f>IF($C481="","",IFERROR(VLOOKUP($C481,'2_Control_de_Stock'!$A$11:$N$210,2,0),"⚠️ SKU no existe"))</f>
        <v/>
      </c>
      <c r="E481" s="24" t="n"/>
      <c r="F481" s="33">
        <f>IF($C481="","",IFERROR(VLOOKUP($C481,'2_Control_de_Stock'!$A$11:$N$210,11,0),0))</f>
        <v/>
      </c>
      <c r="G481" s="26">
        <f>IF(OR($C481="",$E481=""),"",$E481*$F481)</f>
        <v/>
      </c>
      <c r="H481" s="22" t="n"/>
      <c r="I481" s="33">
        <f>IF($C481="","",IFERROR($E481*VLOOKUP($C481,'2_Control_de_Stock'!$A$11:$N$210,10,0),0))</f>
        <v/>
      </c>
      <c r="J481" s="36">
        <f>IF($G481="","",$G481-$I481)</f>
        <v/>
      </c>
      <c r="K481" s="37">
        <f>IF($C481="","",IFERROR(VLOOKUP($C481,'2_Control_de_Stock'!$A$11:$N$210,3,0),""))</f>
        <v/>
      </c>
    </row>
    <row r="482">
      <c r="A482" s="21" t="n"/>
      <c r="B482" s="22" t="n"/>
      <c r="C482" s="22" t="n"/>
      <c r="D482" s="35">
        <f>IF($C482="","",IFERROR(VLOOKUP($C482,'2_Control_de_Stock'!$A$11:$N$210,2,0),"⚠️ SKU no existe"))</f>
        <v/>
      </c>
      <c r="E482" s="24" t="n"/>
      <c r="F482" s="33">
        <f>IF($C482="","",IFERROR(VLOOKUP($C482,'2_Control_de_Stock'!$A$11:$N$210,11,0),0))</f>
        <v/>
      </c>
      <c r="G482" s="26">
        <f>IF(OR($C482="",$E482=""),"",$E482*$F482)</f>
        <v/>
      </c>
      <c r="H482" s="22" t="n"/>
      <c r="I482" s="33">
        <f>IF($C482="","",IFERROR($E482*VLOOKUP($C482,'2_Control_de_Stock'!$A$11:$N$210,10,0),0))</f>
        <v/>
      </c>
      <c r="J482" s="36">
        <f>IF($G482="","",$G482-$I482)</f>
        <v/>
      </c>
      <c r="K482" s="37">
        <f>IF($C482="","",IFERROR(VLOOKUP($C482,'2_Control_de_Stock'!$A$11:$N$210,3,0),""))</f>
        <v/>
      </c>
    </row>
    <row r="483">
      <c r="A483" s="21" t="n"/>
      <c r="B483" s="22" t="n"/>
      <c r="C483" s="22" t="n"/>
      <c r="D483" s="35">
        <f>IF($C483="","",IFERROR(VLOOKUP($C483,'2_Control_de_Stock'!$A$11:$N$210,2,0),"⚠️ SKU no existe"))</f>
        <v/>
      </c>
      <c r="E483" s="24" t="n"/>
      <c r="F483" s="33">
        <f>IF($C483="","",IFERROR(VLOOKUP($C483,'2_Control_de_Stock'!$A$11:$N$210,11,0),0))</f>
        <v/>
      </c>
      <c r="G483" s="26">
        <f>IF(OR($C483="",$E483=""),"",$E483*$F483)</f>
        <v/>
      </c>
      <c r="H483" s="22" t="n"/>
      <c r="I483" s="33">
        <f>IF($C483="","",IFERROR($E483*VLOOKUP($C483,'2_Control_de_Stock'!$A$11:$N$210,10,0),0))</f>
        <v/>
      </c>
      <c r="J483" s="36">
        <f>IF($G483="","",$G483-$I483)</f>
        <v/>
      </c>
      <c r="K483" s="37">
        <f>IF($C483="","",IFERROR(VLOOKUP($C483,'2_Control_de_Stock'!$A$11:$N$210,3,0),""))</f>
        <v/>
      </c>
    </row>
    <row r="484">
      <c r="A484" s="21" t="n"/>
      <c r="B484" s="22" t="n"/>
      <c r="C484" s="22" t="n"/>
      <c r="D484" s="35">
        <f>IF($C484="","",IFERROR(VLOOKUP($C484,'2_Control_de_Stock'!$A$11:$N$210,2,0),"⚠️ SKU no existe"))</f>
        <v/>
      </c>
      <c r="E484" s="24" t="n"/>
      <c r="F484" s="33">
        <f>IF($C484="","",IFERROR(VLOOKUP($C484,'2_Control_de_Stock'!$A$11:$N$210,11,0),0))</f>
        <v/>
      </c>
      <c r="G484" s="26">
        <f>IF(OR($C484="",$E484=""),"",$E484*$F484)</f>
        <v/>
      </c>
      <c r="H484" s="22" t="n"/>
      <c r="I484" s="33">
        <f>IF($C484="","",IFERROR($E484*VLOOKUP($C484,'2_Control_de_Stock'!$A$11:$N$210,10,0),0))</f>
        <v/>
      </c>
      <c r="J484" s="36">
        <f>IF($G484="","",$G484-$I484)</f>
        <v/>
      </c>
      <c r="K484" s="37">
        <f>IF($C484="","",IFERROR(VLOOKUP($C484,'2_Control_de_Stock'!$A$11:$N$210,3,0),""))</f>
        <v/>
      </c>
    </row>
    <row r="485">
      <c r="A485" s="21" t="n"/>
      <c r="B485" s="22" t="n"/>
      <c r="C485" s="22" t="n"/>
      <c r="D485" s="35">
        <f>IF($C485="","",IFERROR(VLOOKUP($C485,'2_Control_de_Stock'!$A$11:$N$210,2,0),"⚠️ SKU no existe"))</f>
        <v/>
      </c>
      <c r="E485" s="24" t="n"/>
      <c r="F485" s="33">
        <f>IF($C485="","",IFERROR(VLOOKUP($C485,'2_Control_de_Stock'!$A$11:$N$210,11,0),0))</f>
        <v/>
      </c>
      <c r="G485" s="26">
        <f>IF(OR($C485="",$E485=""),"",$E485*$F485)</f>
        <v/>
      </c>
      <c r="H485" s="22" t="n"/>
      <c r="I485" s="33">
        <f>IF($C485="","",IFERROR($E485*VLOOKUP($C485,'2_Control_de_Stock'!$A$11:$N$210,10,0),0))</f>
        <v/>
      </c>
      <c r="J485" s="36">
        <f>IF($G485="","",$G485-$I485)</f>
        <v/>
      </c>
      <c r="K485" s="37">
        <f>IF($C485="","",IFERROR(VLOOKUP($C485,'2_Control_de_Stock'!$A$11:$N$210,3,0),""))</f>
        <v/>
      </c>
    </row>
    <row r="486">
      <c r="A486" s="21" t="n"/>
      <c r="B486" s="22" t="n"/>
      <c r="C486" s="22" t="n"/>
      <c r="D486" s="35">
        <f>IF($C486="","",IFERROR(VLOOKUP($C486,'2_Control_de_Stock'!$A$11:$N$210,2,0),"⚠️ SKU no existe"))</f>
        <v/>
      </c>
      <c r="E486" s="24" t="n"/>
      <c r="F486" s="33">
        <f>IF($C486="","",IFERROR(VLOOKUP($C486,'2_Control_de_Stock'!$A$11:$N$210,11,0),0))</f>
        <v/>
      </c>
      <c r="G486" s="26">
        <f>IF(OR($C486="",$E486=""),"",$E486*$F486)</f>
        <v/>
      </c>
      <c r="H486" s="22" t="n"/>
      <c r="I486" s="33">
        <f>IF($C486="","",IFERROR($E486*VLOOKUP($C486,'2_Control_de_Stock'!$A$11:$N$210,10,0),0))</f>
        <v/>
      </c>
      <c r="J486" s="36">
        <f>IF($G486="","",$G486-$I486)</f>
        <v/>
      </c>
      <c r="K486" s="37">
        <f>IF($C486="","",IFERROR(VLOOKUP($C486,'2_Control_de_Stock'!$A$11:$N$210,3,0),""))</f>
        <v/>
      </c>
    </row>
    <row r="487">
      <c r="A487" s="21" t="n"/>
      <c r="B487" s="22" t="n"/>
      <c r="C487" s="22" t="n"/>
      <c r="D487" s="35">
        <f>IF($C487="","",IFERROR(VLOOKUP($C487,'2_Control_de_Stock'!$A$11:$N$210,2,0),"⚠️ SKU no existe"))</f>
        <v/>
      </c>
      <c r="E487" s="24" t="n"/>
      <c r="F487" s="33">
        <f>IF($C487="","",IFERROR(VLOOKUP($C487,'2_Control_de_Stock'!$A$11:$N$210,11,0),0))</f>
        <v/>
      </c>
      <c r="G487" s="26">
        <f>IF(OR($C487="",$E487=""),"",$E487*$F487)</f>
        <v/>
      </c>
      <c r="H487" s="22" t="n"/>
      <c r="I487" s="33">
        <f>IF($C487="","",IFERROR($E487*VLOOKUP($C487,'2_Control_de_Stock'!$A$11:$N$210,10,0),0))</f>
        <v/>
      </c>
      <c r="J487" s="36">
        <f>IF($G487="","",$G487-$I487)</f>
        <v/>
      </c>
      <c r="K487" s="37">
        <f>IF($C487="","",IFERROR(VLOOKUP($C487,'2_Control_de_Stock'!$A$11:$N$210,3,0),""))</f>
        <v/>
      </c>
    </row>
    <row r="488">
      <c r="A488" s="21" t="n"/>
      <c r="B488" s="22" t="n"/>
      <c r="C488" s="22" t="n"/>
      <c r="D488" s="35">
        <f>IF($C488="","",IFERROR(VLOOKUP($C488,'2_Control_de_Stock'!$A$11:$N$210,2,0),"⚠️ SKU no existe"))</f>
        <v/>
      </c>
      <c r="E488" s="24" t="n"/>
      <c r="F488" s="33">
        <f>IF($C488="","",IFERROR(VLOOKUP($C488,'2_Control_de_Stock'!$A$11:$N$210,11,0),0))</f>
        <v/>
      </c>
      <c r="G488" s="26">
        <f>IF(OR($C488="",$E488=""),"",$E488*$F488)</f>
        <v/>
      </c>
      <c r="H488" s="22" t="n"/>
      <c r="I488" s="33">
        <f>IF($C488="","",IFERROR($E488*VLOOKUP($C488,'2_Control_de_Stock'!$A$11:$N$210,10,0),0))</f>
        <v/>
      </c>
      <c r="J488" s="36">
        <f>IF($G488="","",$G488-$I488)</f>
        <v/>
      </c>
      <c r="K488" s="37">
        <f>IF($C488="","",IFERROR(VLOOKUP($C488,'2_Control_de_Stock'!$A$11:$N$210,3,0),""))</f>
        <v/>
      </c>
    </row>
    <row r="489">
      <c r="A489" s="21" t="n"/>
      <c r="B489" s="22" t="n"/>
      <c r="C489" s="22" t="n"/>
      <c r="D489" s="35">
        <f>IF($C489="","",IFERROR(VLOOKUP($C489,'2_Control_de_Stock'!$A$11:$N$210,2,0),"⚠️ SKU no existe"))</f>
        <v/>
      </c>
      <c r="E489" s="24" t="n"/>
      <c r="F489" s="33">
        <f>IF($C489="","",IFERROR(VLOOKUP($C489,'2_Control_de_Stock'!$A$11:$N$210,11,0),0))</f>
        <v/>
      </c>
      <c r="G489" s="26">
        <f>IF(OR($C489="",$E489=""),"",$E489*$F489)</f>
        <v/>
      </c>
      <c r="H489" s="22" t="n"/>
      <c r="I489" s="33">
        <f>IF($C489="","",IFERROR($E489*VLOOKUP($C489,'2_Control_de_Stock'!$A$11:$N$210,10,0),0))</f>
        <v/>
      </c>
      <c r="J489" s="36">
        <f>IF($G489="","",$G489-$I489)</f>
        <v/>
      </c>
      <c r="K489" s="37">
        <f>IF($C489="","",IFERROR(VLOOKUP($C489,'2_Control_de_Stock'!$A$11:$N$210,3,0),""))</f>
        <v/>
      </c>
    </row>
    <row r="490">
      <c r="A490" s="21" t="n"/>
      <c r="B490" s="22" t="n"/>
      <c r="C490" s="22" t="n"/>
      <c r="D490" s="35">
        <f>IF($C490="","",IFERROR(VLOOKUP($C490,'2_Control_de_Stock'!$A$11:$N$210,2,0),"⚠️ SKU no existe"))</f>
        <v/>
      </c>
      <c r="E490" s="24" t="n"/>
      <c r="F490" s="33">
        <f>IF($C490="","",IFERROR(VLOOKUP($C490,'2_Control_de_Stock'!$A$11:$N$210,11,0),0))</f>
        <v/>
      </c>
      <c r="G490" s="26">
        <f>IF(OR($C490="",$E490=""),"",$E490*$F490)</f>
        <v/>
      </c>
      <c r="H490" s="22" t="n"/>
      <c r="I490" s="33">
        <f>IF($C490="","",IFERROR($E490*VLOOKUP($C490,'2_Control_de_Stock'!$A$11:$N$210,10,0),0))</f>
        <v/>
      </c>
      <c r="J490" s="36">
        <f>IF($G490="","",$G490-$I490)</f>
        <v/>
      </c>
      <c r="K490" s="37">
        <f>IF($C490="","",IFERROR(VLOOKUP($C490,'2_Control_de_Stock'!$A$11:$N$210,3,0),""))</f>
        <v/>
      </c>
    </row>
    <row r="491">
      <c r="A491" s="21" t="n"/>
      <c r="B491" s="22" t="n"/>
      <c r="C491" s="22" t="n"/>
      <c r="D491" s="35">
        <f>IF($C491="","",IFERROR(VLOOKUP($C491,'2_Control_de_Stock'!$A$11:$N$210,2,0),"⚠️ SKU no existe"))</f>
        <v/>
      </c>
      <c r="E491" s="24" t="n"/>
      <c r="F491" s="33">
        <f>IF($C491="","",IFERROR(VLOOKUP($C491,'2_Control_de_Stock'!$A$11:$N$210,11,0),0))</f>
        <v/>
      </c>
      <c r="G491" s="26">
        <f>IF(OR($C491="",$E491=""),"",$E491*$F491)</f>
        <v/>
      </c>
      <c r="H491" s="22" t="n"/>
      <c r="I491" s="33">
        <f>IF($C491="","",IFERROR($E491*VLOOKUP($C491,'2_Control_de_Stock'!$A$11:$N$210,10,0),0))</f>
        <v/>
      </c>
      <c r="J491" s="36">
        <f>IF($G491="","",$G491-$I491)</f>
        <v/>
      </c>
      <c r="K491" s="37">
        <f>IF($C491="","",IFERROR(VLOOKUP($C491,'2_Control_de_Stock'!$A$11:$N$210,3,0),""))</f>
        <v/>
      </c>
    </row>
    <row r="492">
      <c r="A492" s="21" t="n"/>
      <c r="B492" s="22" t="n"/>
      <c r="C492" s="22" t="n"/>
      <c r="D492" s="35">
        <f>IF($C492="","",IFERROR(VLOOKUP($C492,'2_Control_de_Stock'!$A$11:$N$210,2,0),"⚠️ SKU no existe"))</f>
        <v/>
      </c>
      <c r="E492" s="24" t="n"/>
      <c r="F492" s="33">
        <f>IF($C492="","",IFERROR(VLOOKUP($C492,'2_Control_de_Stock'!$A$11:$N$210,11,0),0))</f>
        <v/>
      </c>
      <c r="G492" s="26">
        <f>IF(OR($C492="",$E492=""),"",$E492*$F492)</f>
        <v/>
      </c>
      <c r="H492" s="22" t="n"/>
      <c r="I492" s="33">
        <f>IF($C492="","",IFERROR($E492*VLOOKUP($C492,'2_Control_de_Stock'!$A$11:$N$210,10,0),0))</f>
        <v/>
      </c>
      <c r="J492" s="36">
        <f>IF($G492="","",$G492-$I492)</f>
        <v/>
      </c>
      <c r="K492" s="37">
        <f>IF($C492="","",IFERROR(VLOOKUP($C492,'2_Control_de_Stock'!$A$11:$N$210,3,0),""))</f>
        <v/>
      </c>
    </row>
    <row r="493">
      <c r="A493" s="21" t="n"/>
      <c r="B493" s="22" t="n"/>
      <c r="C493" s="22" t="n"/>
      <c r="D493" s="35">
        <f>IF($C493="","",IFERROR(VLOOKUP($C493,'2_Control_de_Stock'!$A$11:$N$210,2,0),"⚠️ SKU no existe"))</f>
        <v/>
      </c>
      <c r="E493" s="24" t="n"/>
      <c r="F493" s="33">
        <f>IF($C493="","",IFERROR(VLOOKUP($C493,'2_Control_de_Stock'!$A$11:$N$210,11,0),0))</f>
        <v/>
      </c>
      <c r="G493" s="26">
        <f>IF(OR($C493="",$E493=""),"",$E493*$F493)</f>
        <v/>
      </c>
      <c r="H493" s="22" t="n"/>
      <c r="I493" s="33">
        <f>IF($C493="","",IFERROR($E493*VLOOKUP($C493,'2_Control_de_Stock'!$A$11:$N$210,10,0),0))</f>
        <v/>
      </c>
      <c r="J493" s="36">
        <f>IF($G493="","",$G493-$I493)</f>
        <v/>
      </c>
      <c r="K493" s="37">
        <f>IF($C493="","",IFERROR(VLOOKUP($C493,'2_Control_de_Stock'!$A$11:$N$210,3,0),""))</f>
        <v/>
      </c>
    </row>
    <row r="494">
      <c r="A494" s="21" t="n"/>
      <c r="B494" s="22" t="n"/>
      <c r="C494" s="22" t="n"/>
      <c r="D494" s="35">
        <f>IF($C494="","",IFERROR(VLOOKUP($C494,'2_Control_de_Stock'!$A$11:$N$210,2,0),"⚠️ SKU no existe"))</f>
        <v/>
      </c>
      <c r="E494" s="24" t="n"/>
      <c r="F494" s="33">
        <f>IF($C494="","",IFERROR(VLOOKUP($C494,'2_Control_de_Stock'!$A$11:$N$210,11,0),0))</f>
        <v/>
      </c>
      <c r="G494" s="26">
        <f>IF(OR($C494="",$E494=""),"",$E494*$F494)</f>
        <v/>
      </c>
      <c r="H494" s="22" t="n"/>
      <c r="I494" s="33">
        <f>IF($C494="","",IFERROR($E494*VLOOKUP($C494,'2_Control_de_Stock'!$A$11:$N$210,10,0),0))</f>
        <v/>
      </c>
      <c r="J494" s="36">
        <f>IF($G494="","",$G494-$I494)</f>
        <v/>
      </c>
      <c r="K494" s="37">
        <f>IF($C494="","",IFERROR(VLOOKUP($C494,'2_Control_de_Stock'!$A$11:$N$210,3,0),""))</f>
        <v/>
      </c>
    </row>
    <row r="495">
      <c r="A495" s="21" t="n"/>
      <c r="B495" s="22" t="n"/>
      <c r="C495" s="22" t="n"/>
      <c r="D495" s="35">
        <f>IF($C495="","",IFERROR(VLOOKUP($C495,'2_Control_de_Stock'!$A$11:$N$210,2,0),"⚠️ SKU no existe"))</f>
        <v/>
      </c>
      <c r="E495" s="24" t="n"/>
      <c r="F495" s="33">
        <f>IF($C495="","",IFERROR(VLOOKUP($C495,'2_Control_de_Stock'!$A$11:$N$210,11,0),0))</f>
        <v/>
      </c>
      <c r="G495" s="26">
        <f>IF(OR($C495="",$E495=""),"",$E495*$F495)</f>
        <v/>
      </c>
      <c r="H495" s="22" t="n"/>
      <c r="I495" s="33">
        <f>IF($C495="","",IFERROR($E495*VLOOKUP($C495,'2_Control_de_Stock'!$A$11:$N$210,10,0),0))</f>
        <v/>
      </c>
      <c r="J495" s="36">
        <f>IF($G495="","",$G495-$I495)</f>
        <v/>
      </c>
      <c r="K495" s="37">
        <f>IF($C495="","",IFERROR(VLOOKUP($C495,'2_Control_de_Stock'!$A$11:$N$210,3,0),""))</f>
        <v/>
      </c>
    </row>
    <row r="496">
      <c r="A496" s="21" t="n"/>
      <c r="B496" s="22" t="n"/>
      <c r="C496" s="22" t="n"/>
      <c r="D496" s="35">
        <f>IF($C496="","",IFERROR(VLOOKUP($C496,'2_Control_de_Stock'!$A$11:$N$210,2,0),"⚠️ SKU no existe"))</f>
        <v/>
      </c>
      <c r="E496" s="24" t="n"/>
      <c r="F496" s="33">
        <f>IF($C496="","",IFERROR(VLOOKUP($C496,'2_Control_de_Stock'!$A$11:$N$210,11,0),0))</f>
        <v/>
      </c>
      <c r="G496" s="26">
        <f>IF(OR($C496="",$E496=""),"",$E496*$F496)</f>
        <v/>
      </c>
      <c r="H496" s="22" t="n"/>
      <c r="I496" s="33">
        <f>IF($C496="","",IFERROR($E496*VLOOKUP($C496,'2_Control_de_Stock'!$A$11:$N$210,10,0),0))</f>
        <v/>
      </c>
      <c r="J496" s="36">
        <f>IF($G496="","",$G496-$I496)</f>
        <v/>
      </c>
      <c r="K496" s="37">
        <f>IF($C496="","",IFERROR(VLOOKUP($C496,'2_Control_de_Stock'!$A$11:$N$210,3,0),""))</f>
        <v/>
      </c>
    </row>
    <row r="497">
      <c r="A497" s="21" t="n"/>
      <c r="B497" s="22" t="n"/>
      <c r="C497" s="22" t="n"/>
      <c r="D497" s="35">
        <f>IF($C497="","",IFERROR(VLOOKUP($C497,'2_Control_de_Stock'!$A$11:$N$210,2,0),"⚠️ SKU no existe"))</f>
        <v/>
      </c>
      <c r="E497" s="24" t="n"/>
      <c r="F497" s="33">
        <f>IF($C497="","",IFERROR(VLOOKUP($C497,'2_Control_de_Stock'!$A$11:$N$210,11,0),0))</f>
        <v/>
      </c>
      <c r="G497" s="26">
        <f>IF(OR($C497="",$E497=""),"",$E497*$F497)</f>
        <v/>
      </c>
      <c r="H497" s="22" t="n"/>
      <c r="I497" s="33">
        <f>IF($C497="","",IFERROR($E497*VLOOKUP($C497,'2_Control_de_Stock'!$A$11:$N$210,10,0),0))</f>
        <v/>
      </c>
      <c r="J497" s="36">
        <f>IF($G497="","",$G497-$I497)</f>
        <v/>
      </c>
      <c r="K497" s="37">
        <f>IF($C497="","",IFERROR(VLOOKUP($C497,'2_Control_de_Stock'!$A$11:$N$210,3,0),""))</f>
        <v/>
      </c>
    </row>
    <row r="498">
      <c r="A498" s="21" t="n"/>
      <c r="B498" s="22" t="n"/>
      <c r="C498" s="22" t="n"/>
      <c r="D498" s="35">
        <f>IF($C498="","",IFERROR(VLOOKUP($C498,'2_Control_de_Stock'!$A$11:$N$210,2,0),"⚠️ SKU no existe"))</f>
        <v/>
      </c>
      <c r="E498" s="24" t="n"/>
      <c r="F498" s="33">
        <f>IF($C498="","",IFERROR(VLOOKUP($C498,'2_Control_de_Stock'!$A$11:$N$210,11,0),0))</f>
        <v/>
      </c>
      <c r="G498" s="26">
        <f>IF(OR($C498="",$E498=""),"",$E498*$F498)</f>
        <v/>
      </c>
      <c r="H498" s="22" t="n"/>
      <c r="I498" s="33">
        <f>IF($C498="","",IFERROR($E498*VLOOKUP($C498,'2_Control_de_Stock'!$A$11:$N$210,10,0),0))</f>
        <v/>
      </c>
      <c r="J498" s="36">
        <f>IF($G498="","",$G498-$I498)</f>
        <v/>
      </c>
      <c r="K498" s="37">
        <f>IF($C498="","",IFERROR(VLOOKUP($C498,'2_Control_de_Stock'!$A$11:$N$210,3,0),""))</f>
        <v/>
      </c>
    </row>
    <row r="499">
      <c r="A499" s="21" t="n"/>
      <c r="B499" s="22" t="n"/>
      <c r="C499" s="22" t="n"/>
      <c r="D499" s="35">
        <f>IF($C499="","",IFERROR(VLOOKUP($C499,'2_Control_de_Stock'!$A$11:$N$210,2,0),"⚠️ SKU no existe"))</f>
        <v/>
      </c>
      <c r="E499" s="24" t="n"/>
      <c r="F499" s="33">
        <f>IF($C499="","",IFERROR(VLOOKUP($C499,'2_Control_de_Stock'!$A$11:$N$210,11,0),0))</f>
        <v/>
      </c>
      <c r="G499" s="26">
        <f>IF(OR($C499="",$E499=""),"",$E499*$F499)</f>
        <v/>
      </c>
      <c r="H499" s="22" t="n"/>
      <c r="I499" s="33">
        <f>IF($C499="","",IFERROR($E499*VLOOKUP($C499,'2_Control_de_Stock'!$A$11:$N$210,10,0),0))</f>
        <v/>
      </c>
      <c r="J499" s="36">
        <f>IF($G499="","",$G499-$I499)</f>
        <v/>
      </c>
      <c r="K499" s="37">
        <f>IF($C499="","",IFERROR(VLOOKUP($C499,'2_Control_de_Stock'!$A$11:$N$210,3,0),""))</f>
        <v/>
      </c>
    </row>
    <row r="500">
      <c r="A500" s="21" t="n"/>
      <c r="B500" s="22" t="n"/>
      <c r="C500" s="22" t="n"/>
      <c r="D500" s="35">
        <f>IF($C500="","",IFERROR(VLOOKUP($C500,'2_Control_de_Stock'!$A$11:$N$210,2,0),"⚠️ SKU no existe"))</f>
        <v/>
      </c>
      <c r="E500" s="24" t="n"/>
      <c r="F500" s="33">
        <f>IF($C500="","",IFERROR(VLOOKUP($C500,'2_Control_de_Stock'!$A$11:$N$210,11,0),0))</f>
        <v/>
      </c>
      <c r="G500" s="26">
        <f>IF(OR($C500="",$E500=""),"",$E500*$F500)</f>
        <v/>
      </c>
      <c r="H500" s="22" t="n"/>
      <c r="I500" s="33">
        <f>IF($C500="","",IFERROR($E500*VLOOKUP($C500,'2_Control_de_Stock'!$A$11:$N$210,10,0),0))</f>
        <v/>
      </c>
      <c r="J500" s="36">
        <f>IF($G500="","",$G500-$I500)</f>
        <v/>
      </c>
      <c r="K500" s="37">
        <f>IF($C500="","",IFERROR(VLOOKUP($C500,'2_Control_de_Stock'!$A$11:$N$210,3,0),""))</f>
        <v/>
      </c>
    </row>
    <row r="501">
      <c r="A501" s="21" t="n"/>
      <c r="B501" s="22" t="n"/>
      <c r="C501" s="22" t="n"/>
      <c r="D501" s="35">
        <f>IF($C501="","",IFERROR(VLOOKUP($C501,'2_Control_de_Stock'!$A$11:$N$210,2,0),"⚠️ SKU no existe"))</f>
        <v/>
      </c>
      <c r="E501" s="24" t="n"/>
      <c r="F501" s="33">
        <f>IF($C501="","",IFERROR(VLOOKUP($C501,'2_Control_de_Stock'!$A$11:$N$210,11,0),0))</f>
        <v/>
      </c>
      <c r="G501" s="26">
        <f>IF(OR($C501="",$E501=""),"",$E501*$F501)</f>
        <v/>
      </c>
      <c r="H501" s="22" t="n"/>
      <c r="I501" s="33">
        <f>IF($C501="","",IFERROR($E501*VLOOKUP($C501,'2_Control_de_Stock'!$A$11:$N$210,10,0),0))</f>
        <v/>
      </c>
      <c r="J501" s="36">
        <f>IF($G501="","",$G501-$I501)</f>
        <v/>
      </c>
      <c r="K501" s="37">
        <f>IF($C501="","",IFERROR(VLOOKUP($C501,'2_Control_de_Stock'!$A$11:$N$210,3,0),""))</f>
        <v/>
      </c>
    </row>
    <row r="502">
      <c r="A502" s="21" t="n"/>
      <c r="B502" s="22" t="n"/>
      <c r="C502" s="22" t="n"/>
      <c r="D502" s="35">
        <f>IF($C502="","",IFERROR(VLOOKUP($C502,'2_Control_de_Stock'!$A$11:$N$210,2,0),"⚠️ SKU no existe"))</f>
        <v/>
      </c>
      <c r="E502" s="24" t="n"/>
      <c r="F502" s="33">
        <f>IF($C502="","",IFERROR(VLOOKUP($C502,'2_Control_de_Stock'!$A$11:$N$210,11,0),0))</f>
        <v/>
      </c>
      <c r="G502" s="26">
        <f>IF(OR($C502="",$E502=""),"",$E502*$F502)</f>
        <v/>
      </c>
      <c r="H502" s="22" t="n"/>
      <c r="I502" s="33">
        <f>IF($C502="","",IFERROR($E502*VLOOKUP($C502,'2_Control_de_Stock'!$A$11:$N$210,10,0),0))</f>
        <v/>
      </c>
      <c r="J502" s="36">
        <f>IF($G502="","",$G502-$I502)</f>
        <v/>
      </c>
      <c r="K502" s="37">
        <f>IF($C502="","",IFERROR(VLOOKUP($C502,'2_Control_de_Stock'!$A$11:$N$210,3,0),""))</f>
        <v/>
      </c>
    </row>
    <row r="503">
      <c r="A503" s="21" t="n"/>
      <c r="B503" s="22" t="n"/>
      <c r="C503" s="22" t="n"/>
      <c r="D503" s="35">
        <f>IF($C503="","",IFERROR(VLOOKUP($C503,'2_Control_de_Stock'!$A$11:$N$210,2,0),"⚠️ SKU no existe"))</f>
        <v/>
      </c>
      <c r="E503" s="24" t="n"/>
      <c r="F503" s="33">
        <f>IF($C503="","",IFERROR(VLOOKUP($C503,'2_Control_de_Stock'!$A$11:$N$210,11,0),0))</f>
        <v/>
      </c>
      <c r="G503" s="26">
        <f>IF(OR($C503="",$E503=""),"",$E503*$F503)</f>
        <v/>
      </c>
      <c r="H503" s="22" t="n"/>
      <c r="I503" s="33">
        <f>IF($C503="","",IFERROR($E503*VLOOKUP($C503,'2_Control_de_Stock'!$A$11:$N$210,10,0),0))</f>
        <v/>
      </c>
      <c r="J503" s="36">
        <f>IF($G503="","",$G503-$I503)</f>
        <v/>
      </c>
      <c r="K503" s="37">
        <f>IF($C503="","",IFERROR(VLOOKUP($C503,'2_Control_de_Stock'!$A$11:$N$210,3,0),""))</f>
        <v/>
      </c>
    </row>
    <row r="504">
      <c r="A504" s="21" t="n"/>
      <c r="B504" s="22" t="n"/>
      <c r="C504" s="22" t="n"/>
      <c r="D504" s="35">
        <f>IF($C504="","",IFERROR(VLOOKUP($C504,'2_Control_de_Stock'!$A$11:$N$210,2,0),"⚠️ SKU no existe"))</f>
        <v/>
      </c>
      <c r="E504" s="24" t="n"/>
      <c r="F504" s="33">
        <f>IF($C504="","",IFERROR(VLOOKUP($C504,'2_Control_de_Stock'!$A$11:$N$210,11,0),0))</f>
        <v/>
      </c>
      <c r="G504" s="26">
        <f>IF(OR($C504="",$E504=""),"",$E504*$F504)</f>
        <v/>
      </c>
      <c r="H504" s="22" t="n"/>
      <c r="I504" s="33">
        <f>IF($C504="","",IFERROR($E504*VLOOKUP($C504,'2_Control_de_Stock'!$A$11:$N$210,10,0),0))</f>
        <v/>
      </c>
      <c r="J504" s="36">
        <f>IF($G504="","",$G504-$I504)</f>
        <v/>
      </c>
      <c r="K504" s="37">
        <f>IF($C504="","",IFERROR(VLOOKUP($C504,'2_Control_de_Stock'!$A$11:$N$210,3,0),""))</f>
        <v/>
      </c>
    </row>
    <row r="505">
      <c r="A505" s="21" t="n"/>
      <c r="B505" s="22" t="n"/>
      <c r="C505" s="22" t="n"/>
      <c r="D505" s="35">
        <f>IF($C505="","",IFERROR(VLOOKUP($C505,'2_Control_de_Stock'!$A$11:$N$210,2,0),"⚠️ SKU no existe"))</f>
        <v/>
      </c>
      <c r="E505" s="24" t="n"/>
      <c r="F505" s="33">
        <f>IF($C505="","",IFERROR(VLOOKUP($C505,'2_Control_de_Stock'!$A$11:$N$210,11,0),0))</f>
        <v/>
      </c>
      <c r="G505" s="26">
        <f>IF(OR($C505="",$E505=""),"",$E505*$F505)</f>
        <v/>
      </c>
      <c r="H505" s="22" t="n"/>
      <c r="I505" s="33">
        <f>IF($C505="","",IFERROR($E505*VLOOKUP($C505,'2_Control_de_Stock'!$A$11:$N$210,10,0),0))</f>
        <v/>
      </c>
      <c r="J505" s="36">
        <f>IF($G505="","",$G505-$I505)</f>
        <v/>
      </c>
      <c r="K505" s="37">
        <f>IF($C505="","",IFERROR(VLOOKUP($C505,'2_Control_de_Stock'!$A$11:$N$210,3,0),""))</f>
        <v/>
      </c>
    </row>
    <row r="506">
      <c r="A506" s="21" t="n"/>
      <c r="B506" s="22" t="n"/>
      <c r="C506" s="22" t="n"/>
      <c r="D506" s="35">
        <f>IF($C506="","",IFERROR(VLOOKUP($C506,'2_Control_de_Stock'!$A$11:$N$210,2,0),"⚠️ SKU no existe"))</f>
        <v/>
      </c>
      <c r="E506" s="24" t="n"/>
      <c r="F506" s="33">
        <f>IF($C506="","",IFERROR(VLOOKUP($C506,'2_Control_de_Stock'!$A$11:$N$210,11,0),0))</f>
        <v/>
      </c>
      <c r="G506" s="26">
        <f>IF(OR($C506="",$E506=""),"",$E506*$F506)</f>
        <v/>
      </c>
      <c r="H506" s="22" t="n"/>
      <c r="I506" s="33">
        <f>IF($C506="","",IFERROR($E506*VLOOKUP($C506,'2_Control_de_Stock'!$A$11:$N$210,10,0),0))</f>
        <v/>
      </c>
      <c r="J506" s="36">
        <f>IF($G506="","",$G506-$I506)</f>
        <v/>
      </c>
      <c r="K506" s="37">
        <f>IF($C506="","",IFERROR(VLOOKUP($C506,'2_Control_de_Stock'!$A$11:$N$210,3,0),""))</f>
        <v/>
      </c>
    </row>
    <row r="507">
      <c r="A507" s="21" t="n"/>
      <c r="B507" s="22" t="n"/>
      <c r="C507" s="22" t="n"/>
      <c r="D507" s="35">
        <f>IF($C507="","",IFERROR(VLOOKUP($C507,'2_Control_de_Stock'!$A$11:$N$210,2,0),"⚠️ SKU no existe"))</f>
        <v/>
      </c>
      <c r="E507" s="24" t="n"/>
      <c r="F507" s="33">
        <f>IF($C507="","",IFERROR(VLOOKUP($C507,'2_Control_de_Stock'!$A$11:$N$210,11,0),0))</f>
        <v/>
      </c>
      <c r="G507" s="26">
        <f>IF(OR($C507="",$E507=""),"",$E507*$F507)</f>
        <v/>
      </c>
      <c r="H507" s="22" t="n"/>
      <c r="I507" s="33">
        <f>IF($C507="","",IFERROR($E507*VLOOKUP($C507,'2_Control_de_Stock'!$A$11:$N$210,10,0),0))</f>
        <v/>
      </c>
      <c r="J507" s="36">
        <f>IF($G507="","",$G507-$I507)</f>
        <v/>
      </c>
      <c r="K507" s="37">
        <f>IF($C507="","",IFERROR(VLOOKUP($C507,'2_Control_de_Stock'!$A$11:$N$210,3,0),""))</f>
        <v/>
      </c>
    </row>
    <row r="508">
      <c r="A508" s="21" t="n"/>
      <c r="B508" s="22" t="n"/>
      <c r="C508" s="22" t="n"/>
      <c r="D508" s="35">
        <f>IF($C508="","",IFERROR(VLOOKUP($C508,'2_Control_de_Stock'!$A$11:$N$210,2,0),"⚠️ SKU no existe"))</f>
        <v/>
      </c>
      <c r="E508" s="24" t="n"/>
      <c r="F508" s="33">
        <f>IF($C508="","",IFERROR(VLOOKUP($C508,'2_Control_de_Stock'!$A$11:$N$210,11,0),0))</f>
        <v/>
      </c>
      <c r="G508" s="26">
        <f>IF(OR($C508="",$E508=""),"",$E508*$F508)</f>
        <v/>
      </c>
      <c r="H508" s="22" t="n"/>
      <c r="I508" s="33">
        <f>IF($C508="","",IFERROR($E508*VLOOKUP($C508,'2_Control_de_Stock'!$A$11:$N$210,10,0),0))</f>
        <v/>
      </c>
      <c r="J508" s="36">
        <f>IF($G508="","",$G508-$I508)</f>
        <v/>
      </c>
      <c r="K508" s="37">
        <f>IF($C508="","",IFERROR(VLOOKUP($C508,'2_Control_de_Stock'!$A$11:$N$210,3,0),""))</f>
        <v/>
      </c>
    </row>
    <row r="509">
      <c r="A509" s="21" t="n"/>
      <c r="B509" s="22" t="n"/>
      <c r="C509" s="22" t="n"/>
      <c r="D509" s="35">
        <f>IF($C509="","",IFERROR(VLOOKUP($C509,'2_Control_de_Stock'!$A$11:$N$210,2,0),"⚠️ SKU no existe"))</f>
        <v/>
      </c>
      <c r="E509" s="24" t="n"/>
      <c r="F509" s="33">
        <f>IF($C509="","",IFERROR(VLOOKUP($C509,'2_Control_de_Stock'!$A$11:$N$210,11,0),0))</f>
        <v/>
      </c>
      <c r="G509" s="26">
        <f>IF(OR($C509="",$E509=""),"",$E509*$F509)</f>
        <v/>
      </c>
      <c r="H509" s="22" t="n"/>
      <c r="I509" s="33">
        <f>IF($C509="","",IFERROR($E509*VLOOKUP($C509,'2_Control_de_Stock'!$A$11:$N$210,10,0),0))</f>
        <v/>
      </c>
      <c r="J509" s="36">
        <f>IF($G509="","",$G509-$I509)</f>
        <v/>
      </c>
      <c r="K509" s="37">
        <f>IF($C509="","",IFERROR(VLOOKUP($C509,'2_Control_de_Stock'!$A$11:$N$210,3,0),""))</f>
        <v/>
      </c>
    </row>
    <row r="510">
      <c r="A510" s="21" t="n"/>
      <c r="B510" s="22" t="n"/>
      <c r="C510" s="22" t="n"/>
      <c r="D510" s="35">
        <f>IF($C510="","",IFERROR(VLOOKUP($C510,'2_Control_de_Stock'!$A$11:$N$210,2,0),"⚠️ SKU no existe"))</f>
        <v/>
      </c>
      <c r="E510" s="24" t="n"/>
      <c r="F510" s="33">
        <f>IF($C510="","",IFERROR(VLOOKUP($C510,'2_Control_de_Stock'!$A$11:$N$210,11,0),0))</f>
        <v/>
      </c>
      <c r="G510" s="26">
        <f>IF(OR($C510="",$E510=""),"",$E510*$F510)</f>
        <v/>
      </c>
      <c r="H510" s="22" t="n"/>
      <c r="I510" s="33">
        <f>IF($C510="","",IFERROR($E510*VLOOKUP($C510,'2_Control_de_Stock'!$A$11:$N$210,10,0),0))</f>
        <v/>
      </c>
      <c r="J510" s="36">
        <f>IF($G510="","",$G510-$I510)</f>
        <v/>
      </c>
      <c r="K510" s="37">
        <f>IF($C510="","",IFERROR(VLOOKUP($C510,'2_Control_de_Stock'!$A$11:$N$210,3,0),""))</f>
        <v/>
      </c>
    </row>
    <row r="511">
      <c r="A511" s="21" t="n"/>
      <c r="B511" s="22" t="n"/>
      <c r="C511" s="22" t="n"/>
      <c r="D511" s="35">
        <f>IF($C511="","",IFERROR(VLOOKUP($C511,'2_Control_de_Stock'!$A$11:$N$210,2,0),"⚠️ SKU no existe"))</f>
        <v/>
      </c>
      <c r="E511" s="24" t="n"/>
      <c r="F511" s="33">
        <f>IF($C511="","",IFERROR(VLOOKUP($C511,'2_Control_de_Stock'!$A$11:$N$210,11,0),0))</f>
        <v/>
      </c>
      <c r="G511" s="26">
        <f>IF(OR($C511="",$E511=""),"",$E511*$F511)</f>
        <v/>
      </c>
      <c r="H511" s="22" t="n"/>
      <c r="I511" s="33">
        <f>IF($C511="","",IFERROR($E511*VLOOKUP($C511,'2_Control_de_Stock'!$A$11:$N$210,10,0),0))</f>
        <v/>
      </c>
      <c r="J511" s="36">
        <f>IF($G511="","",$G511-$I511)</f>
        <v/>
      </c>
      <c r="K511" s="37">
        <f>IF($C511="","",IFERROR(VLOOKUP($C511,'2_Control_de_Stock'!$A$11:$N$210,3,0),""))</f>
        <v/>
      </c>
    </row>
    <row r="512">
      <c r="A512" s="21" t="n"/>
      <c r="B512" s="22" t="n"/>
      <c r="C512" s="22" t="n"/>
      <c r="D512" s="35">
        <f>IF($C512="","",IFERROR(VLOOKUP($C512,'2_Control_de_Stock'!$A$11:$N$210,2,0),"⚠️ SKU no existe"))</f>
        <v/>
      </c>
      <c r="E512" s="24" t="n"/>
      <c r="F512" s="33">
        <f>IF($C512="","",IFERROR(VLOOKUP($C512,'2_Control_de_Stock'!$A$11:$N$210,11,0),0))</f>
        <v/>
      </c>
      <c r="G512" s="26">
        <f>IF(OR($C512="",$E512=""),"",$E512*$F512)</f>
        <v/>
      </c>
      <c r="H512" s="22" t="n"/>
      <c r="I512" s="33">
        <f>IF($C512="","",IFERROR($E512*VLOOKUP($C512,'2_Control_de_Stock'!$A$11:$N$210,10,0),0))</f>
        <v/>
      </c>
      <c r="J512" s="36">
        <f>IF($G512="","",$G512-$I512)</f>
        <v/>
      </c>
      <c r="K512" s="37">
        <f>IF($C512="","",IFERROR(VLOOKUP($C512,'2_Control_de_Stock'!$A$11:$N$210,3,0),""))</f>
        <v/>
      </c>
    </row>
    <row r="513">
      <c r="A513" s="21" t="n"/>
      <c r="B513" s="22" t="n"/>
      <c r="C513" s="22" t="n"/>
      <c r="D513" s="35">
        <f>IF($C513="","",IFERROR(VLOOKUP($C513,'2_Control_de_Stock'!$A$11:$N$210,2,0),"⚠️ SKU no existe"))</f>
        <v/>
      </c>
      <c r="E513" s="24" t="n"/>
      <c r="F513" s="33">
        <f>IF($C513="","",IFERROR(VLOOKUP($C513,'2_Control_de_Stock'!$A$11:$N$210,11,0),0))</f>
        <v/>
      </c>
      <c r="G513" s="26">
        <f>IF(OR($C513="",$E513=""),"",$E513*$F513)</f>
        <v/>
      </c>
      <c r="H513" s="22" t="n"/>
      <c r="I513" s="33">
        <f>IF($C513="","",IFERROR($E513*VLOOKUP($C513,'2_Control_de_Stock'!$A$11:$N$210,10,0),0))</f>
        <v/>
      </c>
      <c r="J513" s="36">
        <f>IF($G513="","",$G513-$I513)</f>
        <v/>
      </c>
      <c r="K513" s="37">
        <f>IF($C513="","",IFERROR(VLOOKUP($C513,'2_Control_de_Stock'!$A$11:$N$210,3,0),""))</f>
        <v/>
      </c>
    </row>
    <row r="514">
      <c r="A514" s="21" t="n"/>
      <c r="B514" s="22" t="n"/>
      <c r="C514" s="22" t="n"/>
      <c r="D514" s="35">
        <f>IF($C514="","",IFERROR(VLOOKUP($C514,'2_Control_de_Stock'!$A$11:$N$210,2,0),"⚠️ SKU no existe"))</f>
        <v/>
      </c>
      <c r="E514" s="24" t="n"/>
      <c r="F514" s="33">
        <f>IF($C514="","",IFERROR(VLOOKUP($C514,'2_Control_de_Stock'!$A$11:$N$210,11,0),0))</f>
        <v/>
      </c>
      <c r="G514" s="26">
        <f>IF(OR($C514="",$E514=""),"",$E514*$F514)</f>
        <v/>
      </c>
      <c r="H514" s="22" t="n"/>
      <c r="I514" s="33">
        <f>IF($C514="","",IFERROR($E514*VLOOKUP($C514,'2_Control_de_Stock'!$A$11:$N$210,10,0),0))</f>
        <v/>
      </c>
      <c r="J514" s="36">
        <f>IF($G514="","",$G514-$I514)</f>
        <v/>
      </c>
      <c r="K514" s="37">
        <f>IF($C514="","",IFERROR(VLOOKUP($C514,'2_Control_de_Stock'!$A$11:$N$210,3,0),""))</f>
        <v/>
      </c>
    </row>
    <row r="515">
      <c r="A515" s="21" t="n"/>
      <c r="B515" s="22" t="n"/>
      <c r="C515" s="22" t="n"/>
      <c r="D515" s="35">
        <f>IF($C515="","",IFERROR(VLOOKUP($C515,'2_Control_de_Stock'!$A$11:$N$210,2,0),"⚠️ SKU no existe"))</f>
        <v/>
      </c>
      <c r="E515" s="24" t="n"/>
      <c r="F515" s="33">
        <f>IF($C515="","",IFERROR(VLOOKUP($C515,'2_Control_de_Stock'!$A$11:$N$210,11,0),0))</f>
        <v/>
      </c>
      <c r="G515" s="26">
        <f>IF(OR($C515="",$E515=""),"",$E515*$F515)</f>
        <v/>
      </c>
      <c r="H515" s="22" t="n"/>
      <c r="I515" s="33">
        <f>IF($C515="","",IFERROR($E515*VLOOKUP($C515,'2_Control_de_Stock'!$A$11:$N$210,10,0),0))</f>
        <v/>
      </c>
      <c r="J515" s="36">
        <f>IF($G515="","",$G515-$I515)</f>
        <v/>
      </c>
      <c r="K515" s="37">
        <f>IF($C515="","",IFERROR(VLOOKUP($C515,'2_Control_de_Stock'!$A$11:$N$210,3,0),""))</f>
        <v/>
      </c>
    </row>
    <row r="516">
      <c r="A516" s="21" t="n"/>
      <c r="B516" s="22" t="n"/>
      <c r="C516" s="22" t="n"/>
      <c r="D516" s="35">
        <f>IF($C516="","",IFERROR(VLOOKUP($C516,'2_Control_de_Stock'!$A$11:$N$210,2,0),"⚠️ SKU no existe"))</f>
        <v/>
      </c>
      <c r="E516" s="24" t="n"/>
      <c r="F516" s="33">
        <f>IF($C516="","",IFERROR(VLOOKUP($C516,'2_Control_de_Stock'!$A$11:$N$210,11,0),0))</f>
        <v/>
      </c>
      <c r="G516" s="26">
        <f>IF(OR($C516="",$E516=""),"",$E516*$F516)</f>
        <v/>
      </c>
      <c r="H516" s="22" t="n"/>
      <c r="I516" s="33">
        <f>IF($C516="","",IFERROR($E516*VLOOKUP($C516,'2_Control_de_Stock'!$A$11:$N$210,10,0),0))</f>
        <v/>
      </c>
      <c r="J516" s="36">
        <f>IF($G516="","",$G516-$I516)</f>
        <v/>
      </c>
      <c r="K516" s="37">
        <f>IF($C516="","",IFERROR(VLOOKUP($C516,'2_Control_de_Stock'!$A$11:$N$210,3,0),""))</f>
        <v/>
      </c>
    </row>
    <row r="517">
      <c r="A517" s="21" t="n"/>
      <c r="B517" s="22" t="n"/>
      <c r="C517" s="22" t="n"/>
      <c r="D517" s="35">
        <f>IF($C517="","",IFERROR(VLOOKUP($C517,'2_Control_de_Stock'!$A$11:$N$210,2,0),"⚠️ SKU no existe"))</f>
        <v/>
      </c>
      <c r="E517" s="24" t="n"/>
      <c r="F517" s="33">
        <f>IF($C517="","",IFERROR(VLOOKUP($C517,'2_Control_de_Stock'!$A$11:$N$210,11,0),0))</f>
        <v/>
      </c>
      <c r="G517" s="26">
        <f>IF(OR($C517="",$E517=""),"",$E517*$F517)</f>
        <v/>
      </c>
      <c r="H517" s="22" t="n"/>
      <c r="I517" s="33">
        <f>IF($C517="","",IFERROR($E517*VLOOKUP($C517,'2_Control_de_Stock'!$A$11:$N$210,10,0),0))</f>
        <v/>
      </c>
      <c r="J517" s="36">
        <f>IF($G517="","",$G517-$I517)</f>
        <v/>
      </c>
      <c r="K517" s="37">
        <f>IF($C517="","",IFERROR(VLOOKUP($C517,'2_Control_de_Stock'!$A$11:$N$210,3,0),""))</f>
        <v/>
      </c>
    </row>
    <row r="518">
      <c r="A518" s="21" t="n"/>
      <c r="B518" s="22" t="n"/>
      <c r="C518" s="22" t="n"/>
      <c r="D518" s="35">
        <f>IF($C518="","",IFERROR(VLOOKUP($C518,'2_Control_de_Stock'!$A$11:$N$210,2,0),"⚠️ SKU no existe"))</f>
        <v/>
      </c>
      <c r="E518" s="24" t="n"/>
      <c r="F518" s="33">
        <f>IF($C518="","",IFERROR(VLOOKUP($C518,'2_Control_de_Stock'!$A$11:$N$210,11,0),0))</f>
        <v/>
      </c>
      <c r="G518" s="26">
        <f>IF(OR($C518="",$E518=""),"",$E518*$F518)</f>
        <v/>
      </c>
      <c r="H518" s="22" t="n"/>
      <c r="I518" s="33">
        <f>IF($C518="","",IFERROR($E518*VLOOKUP($C518,'2_Control_de_Stock'!$A$11:$N$210,10,0),0))</f>
        <v/>
      </c>
      <c r="J518" s="36">
        <f>IF($G518="","",$G518-$I518)</f>
        <v/>
      </c>
      <c r="K518" s="37">
        <f>IF($C518="","",IFERROR(VLOOKUP($C518,'2_Control_de_Stock'!$A$11:$N$210,3,0),""))</f>
        <v/>
      </c>
    </row>
    <row r="519">
      <c r="A519" s="21" t="n"/>
      <c r="B519" s="22" t="n"/>
      <c r="C519" s="22" t="n"/>
      <c r="D519" s="35">
        <f>IF($C519="","",IFERROR(VLOOKUP($C519,'2_Control_de_Stock'!$A$11:$N$210,2,0),"⚠️ SKU no existe"))</f>
        <v/>
      </c>
      <c r="E519" s="24" t="n"/>
      <c r="F519" s="33">
        <f>IF($C519="","",IFERROR(VLOOKUP($C519,'2_Control_de_Stock'!$A$11:$N$210,11,0),0))</f>
        <v/>
      </c>
      <c r="G519" s="26">
        <f>IF(OR($C519="",$E519=""),"",$E519*$F519)</f>
        <v/>
      </c>
      <c r="H519" s="22" t="n"/>
      <c r="I519" s="33">
        <f>IF($C519="","",IFERROR($E519*VLOOKUP($C519,'2_Control_de_Stock'!$A$11:$N$210,10,0),0))</f>
        <v/>
      </c>
      <c r="J519" s="36">
        <f>IF($G519="","",$G519-$I519)</f>
        <v/>
      </c>
      <c r="K519" s="37">
        <f>IF($C519="","",IFERROR(VLOOKUP($C519,'2_Control_de_Stock'!$A$11:$N$210,3,0),""))</f>
        <v/>
      </c>
    </row>
    <row r="520">
      <c r="A520" s="21" t="n"/>
      <c r="B520" s="22" t="n"/>
      <c r="C520" s="22" t="n"/>
      <c r="D520" s="35">
        <f>IF($C520="","",IFERROR(VLOOKUP($C520,'2_Control_de_Stock'!$A$11:$N$210,2,0),"⚠️ SKU no existe"))</f>
        <v/>
      </c>
      <c r="E520" s="24" t="n"/>
      <c r="F520" s="33">
        <f>IF($C520="","",IFERROR(VLOOKUP($C520,'2_Control_de_Stock'!$A$11:$N$210,11,0),0))</f>
        <v/>
      </c>
      <c r="G520" s="26">
        <f>IF(OR($C520="",$E520=""),"",$E520*$F520)</f>
        <v/>
      </c>
      <c r="H520" s="22" t="n"/>
      <c r="I520" s="33">
        <f>IF($C520="","",IFERROR($E520*VLOOKUP($C520,'2_Control_de_Stock'!$A$11:$N$210,10,0),0))</f>
        <v/>
      </c>
      <c r="J520" s="36">
        <f>IF($G520="","",$G520-$I520)</f>
        <v/>
      </c>
      <c r="K520" s="37">
        <f>IF($C520="","",IFERROR(VLOOKUP($C520,'2_Control_de_Stock'!$A$11:$N$210,3,0),""))</f>
        <v/>
      </c>
    </row>
    <row r="521">
      <c r="A521" s="21" t="n"/>
      <c r="B521" s="22" t="n"/>
      <c r="C521" s="22" t="n"/>
      <c r="D521" s="35">
        <f>IF($C521="","",IFERROR(VLOOKUP($C521,'2_Control_de_Stock'!$A$11:$N$210,2,0),"⚠️ SKU no existe"))</f>
        <v/>
      </c>
      <c r="E521" s="24" t="n"/>
      <c r="F521" s="33">
        <f>IF($C521="","",IFERROR(VLOOKUP($C521,'2_Control_de_Stock'!$A$11:$N$210,11,0),0))</f>
        <v/>
      </c>
      <c r="G521" s="26">
        <f>IF(OR($C521="",$E521=""),"",$E521*$F521)</f>
        <v/>
      </c>
      <c r="H521" s="22" t="n"/>
      <c r="I521" s="33">
        <f>IF($C521="","",IFERROR($E521*VLOOKUP($C521,'2_Control_de_Stock'!$A$11:$N$210,10,0),0))</f>
        <v/>
      </c>
      <c r="J521" s="36">
        <f>IF($G521="","",$G521-$I521)</f>
        <v/>
      </c>
      <c r="K521" s="37">
        <f>IF($C521="","",IFERROR(VLOOKUP($C521,'2_Control_de_Stock'!$A$11:$N$210,3,0),""))</f>
        <v/>
      </c>
    </row>
    <row r="522">
      <c r="A522" s="21" t="n"/>
      <c r="B522" s="22" t="n"/>
      <c r="C522" s="22" t="n"/>
      <c r="D522" s="35">
        <f>IF($C522="","",IFERROR(VLOOKUP($C522,'2_Control_de_Stock'!$A$11:$N$210,2,0),"⚠️ SKU no existe"))</f>
        <v/>
      </c>
      <c r="E522" s="24" t="n"/>
      <c r="F522" s="33">
        <f>IF($C522="","",IFERROR(VLOOKUP($C522,'2_Control_de_Stock'!$A$11:$N$210,11,0),0))</f>
        <v/>
      </c>
      <c r="G522" s="26">
        <f>IF(OR($C522="",$E522=""),"",$E522*$F522)</f>
        <v/>
      </c>
      <c r="H522" s="22" t="n"/>
      <c r="I522" s="33">
        <f>IF($C522="","",IFERROR($E522*VLOOKUP($C522,'2_Control_de_Stock'!$A$11:$N$210,10,0),0))</f>
        <v/>
      </c>
      <c r="J522" s="36">
        <f>IF($G522="","",$G522-$I522)</f>
        <v/>
      </c>
      <c r="K522" s="37">
        <f>IF($C522="","",IFERROR(VLOOKUP($C522,'2_Control_de_Stock'!$A$11:$N$210,3,0),""))</f>
        <v/>
      </c>
    </row>
    <row r="523">
      <c r="A523" s="21" t="n"/>
      <c r="B523" s="22" t="n"/>
      <c r="C523" s="22" t="n"/>
      <c r="D523" s="35">
        <f>IF($C523="","",IFERROR(VLOOKUP($C523,'2_Control_de_Stock'!$A$11:$N$210,2,0),"⚠️ SKU no existe"))</f>
        <v/>
      </c>
      <c r="E523" s="24" t="n"/>
      <c r="F523" s="33">
        <f>IF($C523="","",IFERROR(VLOOKUP($C523,'2_Control_de_Stock'!$A$11:$N$210,11,0),0))</f>
        <v/>
      </c>
      <c r="G523" s="26">
        <f>IF(OR($C523="",$E523=""),"",$E523*$F523)</f>
        <v/>
      </c>
      <c r="H523" s="22" t="n"/>
      <c r="I523" s="33">
        <f>IF($C523="","",IFERROR($E523*VLOOKUP($C523,'2_Control_de_Stock'!$A$11:$N$210,10,0),0))</f>
        <v/>
      </c>
      <c r="J523" s="36">
        <f>IF($G523="","",$G523-$I523)</f>
        <v/>
      </c>
      <c r="K523" s="37">
        <f>IF($C523="","",IFERROR(VLOOKUP($C523,'2_Control_de_Stock'!$A$11:$N$210,3,0),""))</f>
        <v/>
      </c>
    </row>
    <row r="524">
      <c r="A524" s="21" t="n"/>
      <c r="B524" s="22" t="n"/>
      <c r="C524" s="22" t="n"/>
      <c r="D524" s="35">
        <f>IF($C524="","",IFERROR(VLOOKUP($C524,'2_Control_de_Stock'!$A$11:$N$210,2,0),"⚠️ SKU no existe"))</f>
        <v/>
      </c>
      <c r="E524" s="24" t="n"/>
      <c r="F524" s="33">
        <f>IF($C524="","",IFERROR(VLOOKUP($C524,'2_Control_de_Stock'!$A$11:$N$210,11,0),0))</f>
        <v/>
      </c>
      <c r="G524" s="26">
        <f>IF(OR($C524="",$E524=""),"",$E524*$F524)</f>
        <v/>
      </c>
      <c r="H524" s="22" t="n"/>
      <c r="I524" s="33">
        <f>IF($C524="","",IFERROR($E524*VLOOKUP($C524,'2_Control_de_Stock'!$A$11:$N$210,10,0),0))</f>
        <v/>
      </c>
      <c r="J524" s="36">
        <f>IF($G524="","",$G524-$I524)</f>
        <v/>
      </c>
      <c r="K524" s="37">
        <f>IF($C524="","",IFERROR(VLOOKUP($C524,'2_Control_de_Stock'!$A$11:$N$210,3,0),""))</f>
        <v/>
      </c>
    </row>
    <row r="525">
      <c r="A525" s="21" t="n"/>
      <c r="B525" s="22" t="n"/>
      <c r="C525" s="22" t="n"/>
      <c r="D525" s="35">
        <f>IF($C525="","",IFERROR(VLOOKUP($C525,'2_Control_de_Stock'!$A$11:$N$210,2,0),"⚠️ SKU no existe"))</f>
        <v/>
      </c>
      <c r="E525" s="24" t="n"/>
      <c r="F525" s="33">
        <f>IF($C525="","",IFERROR(VLOOKUP($C525,'2_Control_de_Stock'!$A$11:$N$210,11,0),0))</f>
        <v/>
      </c>
      <c r="G525" s="26">
        <f>IF(OR($C525="",$E525=""),"",$E525*$F525)</f>
        <v/>
      </c>
      <c r="H525" s="22" t="n"/>
      <c r="I525" s="33">
        <f>IF($C525="","",IFERROR($E525*VLOOKUP($C525,'2_Control_de_Stock'!$A$11:$N$210,10,0),0))</f>
        <v/>
      </c>
      <c r="J525" s="36">
        <f>IF($G525="","",$G525-$I525)</f>
        <v/>
      </c>
      <c r="K525" s="37">
        <f>IF($C525="","",IFERROR(VLOOKUP($C525,'2_Control_de_Stock'!$A$11:$N$210,3,0),""))</f>
        <v/>
      </c>
    </row>
    <row r="526">
      <c r="A526" s="21" t="n"/>
      <c r="B526" s="22" t="n"/>
      <c r="C526" s="22" t="n"/>
      <c r="D526" s="35">
        <f>IF($C526="","",IFERROR(VLOOKUP($C526,'2_Control_de_Stock'!$A$11:$N$210,2,0),"⚠️ SKU no existe"))</f>
        <v/>
      </c>
      <c r="E526" s="24" t="n"/>
      <c r="F526" s="33">
        <f>IF($C526="","",IFERROR(VLOOKUP($C526,'2_Control_de_Stock'!$A$11:$N$210,11,0),0))</f>
        <v/>
      </c>
      <c r="G526" s="26">
        <f>IF(OR($C526="",$E526=""),"",$E526*$F526)</f>
        <v/>
      </c>
      <c r="H526" s="22" t="n"/>
      <c r="I526" s="33">
        <f>IF($C526="","",IFERROR($E526*VLOOKUP($C526,'2_Control_de_Stock'!$A$11:$N$210,10,0),0))</f>
        <v/>
      </c>
      <c r="J526" s="36">
        <f>IF($G526="","",$G526-$I526)</f>
        <v/>
      </c>
      <c r="K526" s="37">
        <f>IF($C526="","",IFERROR(VLOOKUP($C526,'2_Control_de_Stock'!$A$11:$N$210,3,0),""))</f>
        <v/>
      </c>
    </row>
    <row r="527">
      <c r="A527" s="21" t="n"/>
      <c r="B527" s="22" t="n"/>
      <c r="C527" s="22" t="n"/>
      <c r="D527" s="35">
        <f>IF($C527="","",IFERROR(VLOOKUP($C527,'2_Control_de_Stock'!$A$11:$N$210,2,0),"⚠️ SKU no existe"))</f>
        <v/>
      </c>
      <c r="E527" s="24" t="n"/>
      <c r="F527" s="33">
        <f>IF($C527="","",IFERROR(VLOOKUP($C527,'2_Control_de_Stock'!$A$11:$N$210,11,0),0))</f>
        <v/>
      </c>
      <c r="G527" s="26">
        <f>IF(OR($C527="",$E527=""),"",$E527*$F527)</f>
        <v/>
      </c>
      <c r="H527" s="22" t="n"/>
      <c r="I527" s="33">
        <f>IF($C527="","",IFERROR($E527*VLOOKUP($C527,'2_Control_de_Stock'!$A$11:$N$210,10,0),0))</f>
        <v/>
      </c>
      <c r="J527" s="36">
        <f>IF($G527="","",$G527-$I527)</f>
        <v/>
      </c>
      <c r="K527" s="37">
        <f>IF($C527="","",IFERROR(VLOOKUP($C527,'2_Control_de_Stock'!$A$11:$N$210,3,0),""))</f>
        <v/>
      </c>
    </row>
    <row r="528">
      <c r="A528" s="21" t="n"/>
      <c r="B528" s="22" t="n"/>
      <c r="C528" s="22" t="n"/>
      <c r="D528" s="35">
        <f>IF($C528="","",IFERROR(VLOOKUP($C528,'2_Control_de_Stock'!$A$11:$N$210,2,0),"⚠️ SKU no existe"))</f>
        <v/>
      </c>
      <c r="E528" s="24" t="n"/>
      <c r="F528" s="33">
        <f>IF($C528="","",IFERROR(VLOOKUP($C528,'2_Control_de_Stock'!$A$11:$N$210,11,0),0))</f>
        <v/>
      </c>
      <c r="G528" s="26">
        <f>IF(OR($C528="",$E528=""),"",$E528*$F528)</f>
        <v/>
      </c>
      <c r="H528" s="22" t="n"/>
      <c r="I528" s="33">
        <f>IF($C528="","",IFERROR($E528*VLOOKUP($C528,'2_Control_de_Stock'!$A$11:$N$210,10,0),0))</f>
        <v/>
      </c>
      <c r="J528" s="36">
        <f>IF($G528="","",$G528-$I528)</f>
        <v/>
      </c>
      <c r="K528" s="37">
        <f>IF($C528="","",IFERROR(VLOOKUP($C528,'2_Control_de_Stock'!$A$11:$N$210,3,0),""))</f>
        <v/>
      </c>
    </row>
    <row r="529">
      <c r="A529" s="21" t="n"/>
      <c r="B529" s="22" t="n"/>
      <c r="C529" s="22" t="n"/>
      <c r="D529" s="35">
        <f>IF($C529="","",IFERROR(VLOOKUP($C529,'2_Control_de_Stock'!$A$11:$N$210,2,0),"⚠️ SKU no existe"))</f>
        <v/>
      </c>
      <c r="E529" s="24" t="n"/>
      <c r="F529" s="33">
        <f>IF($C529="","",IFERROR(VLOOKUP($C529,'2_Control_de_Stock'!$A$11:$N$210,11,0),0))</f>
        <v/>
      </c>
      <c r="G529" s="26">
        <f>IF(OR($C529="",$E529=""),"",$E529*$F529)</f>
        <v/>
      </c>
      <c r="H529" s="22" t="n"/>
      <c r="I529" s="33">
        <f>IF($C529="","",IFERROR($E529*VLOOKUP($C529,'2_Control_de_Stock'!$A$11:$N$210,10,0),0))</f>
        <v/>
      </c>
      <c r="J529" s="36">
        <f>IF($G529="","",$G529-$I529)</f>
        <v/>
      </c>
      <c r="K529" s="37">
        <f>IF($C529="","",IFERROR(VLOOKUP($C529,'2_Control_de_Stock'!$A$11:$N$210,3,0),""))</f>
        <v/>
      </c>
    </row>
    <row r="530">
      <c r="A530" s="21" t="n"/>
      <c r="B530" s="22" t="n"/>
      <c r="C530" s="22" t="n"/>
      <c r="D530" s="35">
        <f>IF($C530="","",IFERROR(VLOOKUP($C530,'2_Control_de_Stock'!$A$11:$N$210,2,0),"⚠️ SKU no existe"))</f>
        <v/>
      </c>
      <c r="E530" s="24" t="n"/>
      <c r="F530" s="33">
        <f>IF($C530="","",IFERROR(VLOOKUP($C530,'2_Control_de_Stock'!$A$11:$N$210,11,0),0))</f>
        <v/>
      </c>
      <c r="G530" s="26">
        <f>IF(OR($C530="",$E530=""),"",$E530*$F530)</f>
        <v/>
      </c>
      <c r="H530" s="22" t="n"/>
      <c r="I530" s="33">
        <f>IF($C530="","",IFERROR($E530*VLOOKUP($C530,'2_Control_de_Stock'!$A$11:$N$210,10,0),0))</f>
        <v/>
      </c>
      <c r="J530" s="36">
        <f>IF($G530="","",$G530-$I530)</f>
        <v/>
      </c>
      <c r="K530" s="37">
        <f>IF($C530="","",IFERROR(VLOOKUP($C530,'2_Control_de_Stock'!$A$11:$N$210,3,0),""))</f>
        <v/>
      </c>
    </row>
    <row r="531">
      <c r="A531" s="21" t="n"/>
      <c r="B531" s="22" t="n"/>
      <c r="C531" s="22" t="n"/>
      <c r="D531" s="35">
        <f>IF($C531="","",IFERROR(VLOOKUP($C531,'2_Control_de_Stock'!$A$11:$N$210,2,0),"⚠️ SKU no existe"))</f>
        <v/>
      </c>
      <c r="E531" s="24" t="n"/>
      <c r="F531" s="33">
        <f>IF($C531="","",IFERROR(VLOOKUP($C531,'2_Control_de_Stock'!$A$11:$N$210,11,0),0))</f>
        <v/>
      </c>
      <c r="G531" s="26">
        <f>IF(OR($C531="",$E531=""),"",$E531*$F531)</f>
        <v/>
      </c>
      <c r="H531" s="22" t="n"/>
      <c r="I531" s="33">
        <f>IF($C531="","",IFERROR($E531*VLOOKUP($C531,'2_Control_de_Stock'!$A$11:$N$210,10,0),0))</f>
        <v/>
      </c>
      <c r="J531" s="36">
        <f>IF($G531="","",$G531-$I531)</f>
        <v/>
      </c>
      <c r="K531" s="37">
        <f>IF($C531="","",IFERROR(VLOOKUP($C531,'2_Control_de_Stock'!$A$11:$N$210,3,0),""))</f>
        <v/>
      </c>
    </row>
    <row r="532">
      <c r="A532" s="21" t="n"/>
      <c r="B532" s="22" t="n"/>
      <c r="C532" s="22" t="n"/>
      <c r="D532" s="35">
        <f>IF($C532="","",IFERROR(VLOOKUP($C532,'2_Control_de_Stock'!$A$11:$N$210,2,0),"⚠️ SKU no existe"))</f>
        <v/>
      </c>
      <c r="E532" s="24" t="n"/>
      <c r="F532" s="33">
        <f>IF($C532="","",IFERROR(VLOOKUP($C532,'2_Control_de_Stock'!$A$11:$N$210,11,0),0))</f>
        <v/>
      </c>
      <c r="G532" s="26">
        <f>IF(OR($C532="",$E532=""),"",$E532*$F532)</f>
        <v/>
      </c>
      <c r="H532" s="22" t="n"/>
      <c r="I532" s="33">
        <f>IF($C532="","",IFERROR($E532*VLOOKUP($C532,'2_Control_de_Stock'!$A$11:$N$210,10,0),0))</f>
        <v/>
      </c>
      <c r="J532" s="36">
        <f>IF($G532="","",$G532-$I532)</f>
        <v/>
      </c>
      <c r="K532" s="37">
        <f>IF($C532="","",IFERROR(VLOOKUP($C532,'2_Control_de_Stock'!$A$11:$N$210,3,0),""))</f>
        <v/>
      </c>
    </row>
    <row r="533">
      <c r="A533" s="21" t="n"/>
      <c r="B533" s="22" t="n"/>
      <c r="C533" s="22" t="n"/>
      <c r="D533" s="35">
        <f>IF($C533="","",IFERROR(VLOOKUP($C533,'2_Control_de_Stock'!$A$11:$N$210,2,0),"⚠️ SKU no existe"))</f>
        <v/>
      </c>
      <c r="E533" s="24" t="n"/>
      <c r="F533" s="33">
        <f>IF($C533="","",IFERROR(VLOOKUP($C533,'2_Control_de_Stock'!$A$11:$N$210,11,0),0))</f>
        <v/>
      </c>
      <c r="G533" s="26">
        <f>IF(OR($C533="",$E533=""),"",$E533*$F533)</f>
        <v/>
      </c>
      <c r="H533" s="22" t="n"/>
      <c r="I533" s="33">
        <f>IF($C533="","",IFERROR($E533*VLOOKUP($C533,'2_Control_de_Stock'!$A$11:$N$210,10,0),0))</f>
        <v/>
      </c>
      <c r="J533" s="36">
        <f>IF($G533="","",$G533-$I533)</f>
        <v/>
      </c>
      <c r="K533" s="37">
        <f>IF($C533="","",IFERROR(VLOOKUP($C533,'2_Control_de_Stock'!$A$11:$N$210,3,0),""))</f>
        <v/>
      </c>
    </row>
    <row r="534">
      <c r="A534" s="21" t="n"/>
      <c r="B534" s="22" t="n"/>
      <c r="C534" s="22" t="n"/>
      <c r="D534" s="35">
        <f>IF($C534="","",IFERROR(VLOOKUP($C534,'2_Control_de_Stock'!$A$11:$N$210,2,0),"⚠️ SKU no existe"))</f>
        <v/>
      </c>
      <c r="E534" s="24" t="n"/>
      <c r="F534" s="33">
        <f>IF($C534="","",IFERROR(VLOOKUP($C534,'2_Control_de_Stock'!$A$11:$N$210,11,0),0))</f>
        <v/>
      </c>
      <c r="G534" s="26">
        <f>IF(OR($C534="",$E534=""),"",$E534*$F534)</f>
        <v/>
      </c>
      <c r="H534" s="22" t="n"/>
      <c r="I534" s="33">
        <f>IF($C534="","",IFERROR($E534*VLOOKUP($C534,'2_Control_de_Stock'!$A$11:$N$210,10,0),0))</f>
        <v/>
      </c>
      <c r="J534" s="36">
        <f>IF($G534="","",$G534-$I534)</f>
        <v/>
      </c>
      <c r="K534" s="37">
        <f>IF($C534="","",IFERROR(VLOOKUP($C534,'2_Control_de_Stock'!$A$11:$N$210,3,0),""))</f>
        <v/>
      </c>
    </row>
    <row r="535">
      <c r="A535" s="21" t="n"/>
      <c r="B535" s="22" t="n"/>
      <c r="C535" s="22" t="n"/>
      <c r="D535" s="35">
        <f>IF($C535="","",IFERROR(VLOOKUP($C535,'2_Control_de_Stock'!$A$11:$N$210,2,0),"⚠️ SKU no existe"))</f>
        <v/>
      </c>
      <c r="E535" s="24" t="n"/>
      <c r="F535" s="33">
        <f>IF($C535="","",IFERROR(VLOOKUP($C535,'2_Control_de_Stock'!$A$11:$N$210,11,0),0))</f>
        <v/>
      </c>
      <c r="G535" s="26">
        <f>IF(OR($C535="",$E535=""),"",$E535*$F535)</f>
        <v/>
      </c>
      <c r="H535" s="22" t="n"/>
      <c r="I535" s="33">
        <f>IF($C535="","",IFERROR($E535*VLOOKUP($C535,'2_Control_de_Stock'!$A$11:$N$210,10,0),0))</f>
        <v/>
      </c>
      <c r="J535" s="36">
        <f>IF($G535="","",$G535-$I535)</f>
        <v/>
      </c>
      <c r="K535" s="37">
        <f>IF($C535="","",IFERROR(VLOOKUP($C535,'2_Control_de_Stock'!$A$11:$N$210,3,0),""))</f>
        <v/>
      </c>
    </row>
    <row r="536">
      <c r="A536" s="21" t="n"/>
      <c r="B536" s="22" t="n"/>
      <c r="C536" s="22" t="n"/>
      <c r="D536" s="35">
        <f>IF($C536="","",IFERROR(VLOOKUP($C536,'2_Control_de_Stock'!$A$11:$N$210,2,0),"⚠️ SKU no existe"))</f>
        <v/>
      </c>
      <c r="E536" s="24" t="n"/>
      <c r="F536" s="33">
        <f>IF($C536="","",IFERROR(VLOOKUP($C536,'2_Control_de_Stock'!$A$11:$N$210,11,0),0))</f>
        <v/>
      </c>
      <c r="G536" s="26">
        <f>IF(OR($C536="",$E536=""),"",$E536*$F536)</f>
        <v/>
      </c>
      <c r="H536" s="22" t="n"/>
      <c r="I536" s="33">
        <f>IF($C536="","",IFERROR($E536*VLOOKUP($C536,'2_Control_de_Stock'!$A$11:$N$210,10,0),0))</f>
        <v/>
      </c>
      <c r="J536" s="36">
        <f>IF($G536="","",$G536-$I536)</f>
        <v/>
      </c>
      <c r="K536" s="37">
        <f>IF($C536="","",IFERROR(VLOOKUP($C536,'2_Control_de_Stock'!$A$11:$N$210,3,0),""))</f>
        <v/>
      </c>
    </row>
    <row r="537">
      <c r="A537" s="21" t="n"/>
      <c r="B537" s="22" t="n"/>
      <c r="C537" s="22" t="n"/>
      <c r="D537" s="35">
        <f>IF($C537="","",IFERROR(VLOOKUP($C537,'2_Control_de_Stock'!$A$11:$N$210,2,0),"⚠️ SKU no existe"))</f>
        <v/>
      </c>
      <c r="E537" s="24" t="n"/>
      <c r="F537" s="33">
        <f>IF($C537="","",IFERROR(VLOOKUP($C537,'2_Control_de_Stock'!$A$11:$N$210,11,0),0))</f>
        <v/>
      </c>
      <c r="G537" s="26">
        <f>IF(OR($C537="",$E537=""),"",$E537*$F537)</f>
        <v/>
      </c>
      <c r="H537" s="22" t="n"/>
      <c r="I537" s="33">
        <f>IF($C537="","",IFERROR($E537*VLOOKUP($C537,'2_Control_de_Stock'!$A$11:$N$210,10,0),0))</f>
        <v/>
      </c>
      <c r="J537" s="36">
        <f>IF($G537="","",$G537-$I537)</f>
        <v/>
      </c>
      <c r="K537" s="37">
        <f>IF($C537="","",IFERROR(VLOOKUP($C537,'2_Control_de_Stock'!$A$11:$N$210,3,0),""))</f>
        <v/>
      </c>
    </row>
    <row r="538">
      <c r="A538" s="21" t="n"/>
      <c r="B538" s="22" t="n"/>
      <c r="C538" s="22" t="n"/>
      <c r="D538" s="35">
        <f>IF($C538="","",IFERROR(VLOOKUP($C538,'2_Control_de_Stock'!$A$11:$N$210,2,0),"⚠️ SKU no existe"))</f>
        <v/>
      </c>
      <c r="E538" s="24" t="n"/>
      <c r="F538" s="33">
        <f>IF($C538="","",IFERROR(VLOOKUP($C538,'2_Control_de_Stock'!$A$11:$N$210,11,0),0))</f>
        <v/>
      </c>
      <c r="G538" s="26">
        <f>IF(OR($C538="",$E538=""),"",$E538*$F538)</f>
        <v/>
      </c>
      <c r="H538" s="22" t="n"/>
      <c r="I538" s="33">
        <f>IF($C538="","",IFERROR($E538*VLOOKUP($C538,'2_Control_de_Stock'!$A$11:$N$210,10,0),0))</f>
        <v/>
      </c>
      <c r="J538" s="36">
        <f>IF($G538="","",$G538-$I538)</f>
        <v/>
      </c>
      <c r="K538" s="37">
        <f>IF($C538="","",IFERROR(VLOOKUP($C538,'2_Control_de_Stock'!$A$11:$N$210,3,0),""))</f>
        <v/>
      </c>
    </row>
    <row r="539">
      <c r="A539" s="21" t="n"/>
      <c r="B539" s="22" t="n"/>
      <c r="C539" s="22" t="n"/>
      <c r="D539" s="35">
        <f>IF($C539="","",IFERROR(VLOOKUP($C539,'2_Control_de_Stock'!$A$11:$N$210,2,0),"⚠️ SKU no existe"))</f>
        <v/>
      </c>
      <c r="E539" s="24" t="n"/>
      <c r="F539" s="33">
        <f>IF($C539="","",IFERROR(VLOOKUP($C539,'2_Control_de_Stock'!$A$11:$N$210,11,0),0))</f>
        <v/>
      </c>
      <c r="G539" s="26">
        <f>IF(OR($C539="",$E539=""),"",$E539*$F539)</f>
        <v/>
      </c>
      <c r="H539" s="22" t="n"/>
      <c r="I539" s="33">
        <f>IF($C539="","",IFERROR($E539*VLOOKUP($C539,'2_Control_de_Stock'!$A$11:$N$210,10,0),0))</f>
        <v/>
      </c>
      <c r="J539" s="36">
        <f>IF($G539="","",$G539-$I539)</f>
        <v/>
      </c>
      <c r="K539" s="37">
        <f>IF($C539="","",IFERROR(VLOOKUP($C539,'2_Control_de_Stock'!$A$11:$N$210,3,0),""))</f>
        <v/>
      </c>
    </row>
    <row r="540">
      <c r="A540" s="21" t="n"/>
      <c r="B540" s="22" t="n"/>
      <c r="C540" s="22" t="n"/>
      <c r="D540" s="35">
        <f>IF($C540="","",IFERROR(VLOOKUP($C540,'2_Control_de_Stock'!$A$11:$N$210,2,0),"⚠️ SKU no existe"))</f>
        <v/>
      </c>
      <c r="E540" s="24" t="n"/>
      <c r="F540" s="33">
        <f>IF($C540="","",IFERROR(VLOOKUP($C540,'2_Control_de_Stock'!$A$11:$N$210,11,0),0))</f>
        <v/>
      </c>
      <c r="G540" s="26">
        <f>IF(OR($C540="",$E540=""),"",$E540*$F540)</f>
        <v/>
      </c>
      <c r="H540" s="22" t="n"/>
      <c r="I540" s="33">
        <f>IF($C540="","",IFERROR($E540*VLOOKUP($C540,'2_Control_de_Stock'!$A$11:$N$210,10,0),0))</f>
        <v/>
      </c>
      <c r="J540" s="36">
        <f>IF($G540="","",$G540-$I540)</f>
        <v/>
      </c>
      <c r="K540" s="37">
        <f>IF($C540="","",IFERROR(VLOOKUP($C540,'2_Control_de_Stock'!$A$11:$N$210,3,0),""))</f>
        <v/>
      </c>
    </row>
    <row r="541">
      <c r="A541" s="21" t="n"/>
      <c r="B541" s="22" t="n"/>
      <c r="C541" s="22" t="n"/>
      <c r="D541" s="35">
        <f>IF($C541="","",IFERROR(VLOOKUP($C541,'2_Control_de_Stock'!$A$11:$N$210,2,0),"⚠️ SKU no existe"))</f>
        <v/>
      </c>
      <c r="E541" s="24" t="n"/>
      <c r="F541" s="33">
        <f>IF($C541="","",IFERROR(VLOOKUP($C541,'2_Control_de_Stock'!$A$11:$N$210,11,0),0))</f>
        <v/>
      </c>
      <c r="G541" s="26">
        <f>IF(OR($C541="",$E541=""),"",$E541*$F541)</f>
        <v/>
      </c>
      <c r="H541" s="22" t="n"/>
      <c r="I541" s="33">
        <f>IF($C541="","",IFERROR($E541*VLOOKUP($C541,'2_Control_de_Stock'!$A$11:$N$210,10,0),0))</f>
        <v/>
      </c>
      <c r="J541" s="36">
        <f>IF($G541="","",$G541-$I541)</f>
        <v/>
      </c>
      <c r="K541" s="37">
        <f>IF($C541="","",IFERROR(VLOOKUP($C541,'2_Control_de_Stock'!$A$11:$N$210,3,0),""))</f>
        <v/>
      </c>
    </row>
    <row r="542">
      <c r="A542" s="21" t="n"/>
      <c r="B542" s="22" t="n"/>
      <c r="C542" s="22" t="n"/>
      <c r="D542" s="35">
        <f>IF($C542="","",IFERROR(VLOOKUP($C542,'2_Control_de_Stock'!$A$11:$N$210,2,0),"⚠️ SKU no existe"))</f>
        <v/>
      </c>
      <c r="E542" s="24" t="n"/>
      <c r="F542" s="33">
        <f>IF($C542="","",IFERROR(VLOOKUP($C542,'2_Control_de_Stock'!$A$11:$N$210,11,0),0))</f>
        <v/>
      </c>
      <c r="G542" s="26">
        <f>IF(OR($C542="",$E542=""),"",$E542*$F542)</f>
        <v/>
      </c>
      <c r="H542" s="22" t="n"/>
      <c r="I542" s="33">
        <f>IF($C542="","",IFERROR($E542*VLOOKUP($C542,'2_Control_de_Stock'!$A$11:$N$210,10,0),0))</f>
        <v/>
      </c>
      <c r="J542" s="36">
        <f>IF($G542="","",$G542-$I542)</f>
        <v/>
      </c>
      <c r="K542" s="37">
        <f>IF($C542="","",IFERROR(VLOOKUP($C542,'2_Control_de_Stock'!$A$11:$N$210,3,0),""))</f>
        <v/>
      </c>
    </row>
    <row r="543">
      <c r="A543" s="21" t="n"/>
      <c r="B543" s="22" t="n"/>
      <c r="C543" s="22" t="n"/>
      <c r="D543" s="35">
        <f>IF($C543="","",IFERROR(VLOOKUP($C543,'2_Control_de_Stock'!$A$11:$N$210,2,0),"⚠️ SKU no existe"))</f>
        <v/>
      </c>
      <c r="E543" s="24" t="n"/>
      <c r="F543" s="33">
        <f>IF($C543="","",IFERROR(VLOOKUP($C543,'2_Control_de_Stock'!$A$11:$N$210,11,0),0))</f>
        <v/>
      </c>
      <c r="G543" s="26">
        <f>IF(OR($C543="",$E543=""),"",$E543*$F543)</f>
        <v/>
      </c>
      <c r="H543" s="22" t="n"/>
      <c r="I543" s="33">
        <f>IF($C543="","",IFERROR($E543*VLOOKUP($C543,'2_Control_de_Stock'!$A$11:$N$210,10,0),0))</f>
        <v/>
      </c>
      <c r="J543" s="36">
        <f>IF($G543="","",$G543-$I543)</f>
        <v/>
      </c>
      <c r="K543" s="37">
        <f>IF($C543="","",IFERROR(VLOOKUP($C543,'2_Control_de_Stock'!$A$11:$N$210,3,0),""))</f>
        <v/>
      </c>
    </row>
    <row r="544">
      <c r="A544" s="21" t="n"/>
      <c r="B544" s="22" t="n"/>
      <c r="C544" s="22" t="n"/>
      <c r="D544" s="35">
        <f>IF($C544="","",IFERROR(VLOOKUP($C544,'2_Control_de_Stock'!$A$11:$N$210,2,0),"⚠️ SKU no existe"))</f>
        <v/>
      </c>
      <c r="E544" s="24" t="n"/>
      <c r="F544" s="33">
        <f>IF($C544="","",IFERROR(VLOOKUP($C544,'2_Control_de_Stock'!$A$11:$N$210,11,0),0))</f>
        <v/>
      </c>
      <c r="G544" s="26">
        <f>IF(OR($C544="",$E544=""),"",$E544*$F544)</f>
        <v/>
      </c>
      <c r="H544" s="22" t="n"/>
      <c r="I544" s="33">
        <f>IF($C544="","",IFERROR($E544*VLOOKUP($C544,'2_Control_de_Stock'!$A$11:$N$210,10,0),0))</f>
        <v/>
      </c>
      <c r="J544" s="36">
        <f>IF($G544="","",$G544-$I544)</f>
        <v/>
      </c>
      <c r="K544" s="37">
        <f>IF($C544="","",IFERROR(VLOOKUP($C544,'2_Control_de_Stock'!$A$11:$N$210,3,0),""))</f>
        <v/>
      </c>
    </row>
    <row r="545">
      <c r="A545" s="21" t="n"/>
      <c r="B545" s="22" t="n"/>
      <c r="C545" s="22" t="n"/>
      <c r="D545" s="35">
        <f>IF($C545="","",IFERROR(VLOOKUP($C545,'2_Control_de_Stock'!$A$11:$N$210,2,0),"⚠️ SKU no existe"))</f>
        <v/>
      </c>
      <c r="E545" s="24" t="n"/>
      <c r="F545" s="33">
        <f>IF($C545="","",IFERROR(VLOOKUP($C545,'2_Control_de_Stock'!$A$11:$N$210,11,0),0))</f>
        <v/>
      </c>
      <c r="G545" s="26">
        <f>IF(OR($C545="",$E545=""),"",$E545*$F545)</f>
        <v/>
      </c>
      <c r="H545" s="22" t="n"/>
      <c r="I545" s="33">
        <f>IF($C545="","",IFERROR($E545*VLOOKUP($C545,'2_Control_de_Stock'!$A$11:$N$210,10,0),0))</f>
        <v/>
      </c>
      <c r="J545" s="36">
        <f>IF($G545="","",$G545-$I545)</f>
        <v/>
      </c>
      <c r="K545" s="37">
        <f>IF($C545="","",IFERROR(VLOOKUP($C545,'2_Control_de_Stock'!$A$11:$N$210,3,0),""))</f>
        <v/>
      </c>
    </row>
    <row r="546">
      <c r="A546" s="21" t="n"/>
      <c r="B546" s="22" t="n"/>
      <c r="C546" s="22" t="n"/>
      <c r="D546" s="35">
        <f>IF($C546="","",IFERROR(VLOOKUP($C546,'2_Control_de_Stock'!$A$11:$N$210,2,0),"⚠️ SKU no existe"))</f>
        <v/>
      </c>
      <c r="E546" s="24" t="n"/>
      <c r="F546" s="33">
        <f>IF($C546="","",IFERROR(VLOOKUP($C546,'2_Control_de_Stock'!$A$11:$N$210,11,0),0))</f>
        <v/>
      </c>
      <c r="G546" s="26">
        <f>IF(OR($C546="",$E546=""),"",$E546*$F546)</f>
        <v/>
      </c>
      <c r="H546" s="22" t="n"/>
      <c r="I546" s="33">
        <f>IF($C546="","",IFERROR($E546*VLOOKUP($C546,'2_Control_de_Stock'!$A$11:$N$210,10,0),0))</f>
        <v/>
      </c>
      <c r="J546" s="36">
        <f>IF($G546="","",$G546-$I546)</f>
        <v/>
      </c>
      <c r="K546" s="37">
        <f>IF($C546="","",IFERROR(VLOOKUP($C546,'2_Control_de_Stock'!$A$11:$N$210,3,0),""))</f>
        <v/>
      </c>
    </row>
    <row r="547">
      <c r="A547" s="21" t="n"/>
      <c r="B547" s="22" t="n"/>
      <c r="C547" s="22" t="n"/>
      <c r="D547" s="35">
        <f>IF($C547="","",IFERROR(VLOOKUP($C547,'2_Control_de_Stock'!$A$11:$N$210,2,0),"⚠️ SKU no existe"))</f>
        <v/>
      </c>
      <c r="E547" s="24" t="n"/>
      <c r="F547" s="33">
        <f>IF($C547="","",IFERROR(VLOOKUP($C547,'2_Control_de_Stock'!$A$11:$N$210,11,0),0))</f>
        <v/>
      </c>
      <c r="G547" s="26">
        <f>IF(OR($C547="",$E547=""),"",$E547*$F547)</f>
        <v/>
      </c>
      <c r="H547" s="22" t="n"/>
      <c r="I547" s="33">
        <f>IF($C547="","",IFERROR($E547*VLOOKUP($C547,'2_Control_de_Stock'!$A$11:$N$210,10,0),0))</f>
        <v/>
      </c>
      <c r="J547" s="36">
        <f>IF($G547="","",$G547-$I547)</f>
        <v/>
      </c>
      <c r="K547" s="37">
        <f>IF($C547="","",IFERROR(VLOOKUP($C547,'2_Control_de_Stock'!$A$11:$N$210,3,0),""))</f>
        <v/>
      </c>
    </row>
    <row r="548">
      <c r="A548" s="21" t="n"/>
      <c r="B548" s="22" t="n"/>
      <c r="C548" s="22" t="n"/>
      <c r="D548" s="35">
        <f>IF($C548="","",IFERROR(VLOOKUP($C548,'2_Control_de_Stock'!$A$11:$N$210,2,0),"⚠️ SKU no existe"))</f>
        <v/>
      </c>
      <c r="E548" s="24" t="n"/>
      <c r="F548" s="33">
        <f>IF($C548="","",IFERROR(VLOOKUP($C548,'2_Control_de_Stock'!$A$11:$N$210,11,0),0))</f>
        <v/>
      </c>
      <c r="G548" s="26">
        <f>IF(OR($C548="",$E548=""),"",$E548*$F548)</f>
        <v/>
      </c>
      <c r="H548" s="22" t="n"/>
      <c r="I548" s="33">
        <f>IF($C548="","",IFERROR($E548*VLOOKUP($C548,'2_Control_de_Stock'!$A$11:$N$210,10,0),0))</f>
        <v/>
      </c>
      <c r="J548" s="36">
        <f>IF($G548="","",$G548-$I548)</f>
        <v/>
      </c>
      <c r="K548" s="37">
        <f>IF($C548="","",IFERROR(VLOOKUP($C548,'2_Control_de_Stock'!$A$11:$N$210,3,0),""))</f>
        <v/>
      </c>
    </row>
    <row r="549">
      <c r="A549" s="21" t="n"/>
      <c r="B549" s="22" t="n"/>
      <c r="C549" s="22" t="n"/>
      <c r="D549" s="35">
        <f>IF($C549="","",IFERROR(VLOOKUP($C549,'2_Control_de_Stock'!$A$11:$N$210,2,0),"⚠️ SKU no existe"))</f>
        <v/>
      </c>
      <c r="E549" s="24" t="n"/>
      <c r="F549" s="33">
        <f>IF($C549="","",IFERROR(VLOOKUP($C549,'2_Control_de_Stock'!$A$11:$N$210,11,0),0))</f>
        <v/>
      </c>
      <c r="G549" s="26">
        <f>IF(OR($C549="",$E549=""),"",$E549*$F549)</f>
        <v/>
      </c>
      <c r="H549" s="22" t="n"/>
      <c r="I549" s="33">
        <f>IF($C549="","",IFERROR($E549*VLOOKUP($C549,'2_Control_de_Stock'!$A$11:$N$210,10,0),0))</f>
        <v/>
      </c>
      <c r="J549" s="36">
        <f>IF($G549="","",$G549-$I549)</f>
        <v/>
      </c>
      <c r="K549" s="37">
        <f>IF($C549="","",IFERROR(VLOOKUP($C549,'2_Control_de_Stock'!$A$11:$N$210,3,0),""))</f>
        <v/>
      </c>
    </row>
    <row r="550">
      <c r="A550" s="21" t="n"/>
      <c r="B550" s="22" t="n"/>
      <c r="C550" s="22" t="n"/>
      <c r="D550" s="35">
        <f>IF($C550="","",IFERROR(VLOOKUP($C550,'2_Control_de_Stock'!$A$11:$N$210,2,0),"⚠️ SKU no existe"))</f>
        <v/>
      </c>
      <c r="E550" s="24" t="n"/>
      <c r="F550" s="33">
        <f>IF($C550="","",IFERROR(VLOOKUP($C550,'2_Control_de_Stock'!$A$11:$N$210,11,0),0))</f>
        <v/>
      </c>
      <c r="G550" s="26">
        <f>IF(OR($C550="",$E550=""),"",$E550*$F550)</f>
        <v/>
      </c>
      <c r="H550" s="22" t="n"/>
      <c r="I550" s="33">
        <f>IF($C550="","",IFERROR($E550*VLOOKUP($C550,'2_Control_de_Stock'!$A$11:$N$210,10,0),0))</f>
        <v/>
      </c>
      <c r="J550" s="36">
        <f>IF($G550="","",$G550-$I550)</f>
        <v/>
      </c>
      <c r="K550" s="37">
        <f>IF($C550="","",IFERROR(VLOOKUP($C550,'2_Control_de_Stock'!$A$11:$N$210,3,0),""))</f>
        <v/>
      </c>
    </row>
    <row r="551">
      <c r="A551" s="21" t="n"/>
      <c r="B551" s="22" t="n"/>
      <c r="C551" s="22" t="n"/>
      <c r="D551" s="35">
        <f>IF($C551="","",IFERROR(VLOOKUP($C551,'2_Control_de_Stock'!$A$11:$N$210,2,0),"⚠️ SKU no existe"))</f>
        <v/>
      </c>
      <c r="E551" s="24" t="n"/>
      <c r="F551" s="33">
        <f>IF($C551="","",IFERROR(VLOOKUP($C551,'2_Control_de_Stock'!$A$11:$N$210,11,0),0))</f>
        <v/>
      </c>
      <c r="G551" s="26">
        <f>IF(OR($C551="",$E551=""),"",$E551*$F551)</f>
        <v/>
      </c>
      <c r="H551" s="22" t="n"/>
      <c r="I551" s="33">
        <f>IF($C551="","",IFERROR($E551*VLOOKUP($C551,'2_Control_de_Stock'!$A$11:$N$210,10,0),0))</f>
        <v/>
      </c>
      <c r="J551" s="36">
        <f>IF($G551="","",$G551-$I551)</f>
        <v/>
      </c>
      <c r="K551" s="37">
        <f>IF($C551="","",IFERROR(VLOOKUP($C551,'2_Control_de_Stock'!$A$11:$N$210,3,0),""))</f>
        <v/>
      </c>
    </row>
    <row r="552">
      <c r="A552" s="21" t="n"/>
      <c r="B552" s="22" t="n"/>
      <c r="C552" s="22" t="n"/>
      <c r="D552" s="35">
        <f>IF($C552="","",IFERROR(VLOOKUP($C552,'2_Control_de_Stock'!$A$11:$N$210,2,0),"⚠️ SKU no existe"))</f>
        <v/>
      </c>
      <c r="E552" s="24" t="n"/>
      <c r="F552" s="33">
        <f>IF($C552="","",IFERROR(VLOOKUP($C552,'2_Control_de_Stock'!$A$11:$N$210,11,0),0))</f>
        <v/>
      </c>
      <c r="G552" s="26">
        <f>IF(OR($C552="",$E552=""),"",$E552*$F552)</f>
        <v/>
      </c>
      <c r="H552" s="22" t="n"/>
      <c r="I552" s="33">
        <f>IF($C552="","",IFERROR($E552*VLOOKUP($C552,'2_Control_de_Stock'!$A$11:$N$210,10,0),0))</f>
        <v/>
      </c>
      <c r="J552" s="36">
        <f>IF($G552="","",$G552-$I552)</f>
        <v/>
      </c>
      <c r="K552" s="37">
        <f>IF($C552="","",IFERROR(VLOOKUP($C552,'2_Control_de_Stock'!$A$11:$N$210,3,0),""))</f>
        <v/>
      </c>
    </row>
    <row r="553">
      <c r="A553" s="21" t="n"/>
      <c r="B553" s="22" t="n"/>
      <c r="C553" s="22" t="n"/>
      <c r="D553" s="35">
        <f>IF($C553="","",IFERROR(VLOOKUP($C553,'2_Control_de_Stock'!$A$11:$N$210,2,0),"⚠️ SKU no existe"))</f>
        <v/>
      </c>
      <c r="E553" s="24" t="n"/>
      <c r="F553" s="33">
        <f>IF($C553="","",IFERROR(VLOOKUP($C553,'2_Control_de_Stock'!$A$11:$N$210,11,0),0))</f>
        <v/>
      </c>
      <c r="G553" s="26">
        <f>IF(OR($C553="",$E553=""),"",$E553*$F553)</f>
        <v/>
      </c>
      <c r="H553" s="22" t="n"/>
      <c r="I553" s="33">
        <f>IF($C553="","",IFERROR($E553*VLOOKUP($C553,'2_Control_de_Stock'!$A$11:$N$210,10,0),0))</f>
        <v/>
      </c>
      <c r="J553" s="36">
        <f>IF($G553="","",$G553-$I553)</f>
        <v/>
      </c>
      <c r="K553" s="37">
        <f>IF($C553="","",IFERROR(VLOOKUP($C553,'2_Control_de_Stock'!$A$11:$N$210,3,0),""))</f>
        <v/>
      </c>
    </row>
    <row r="554">
      <c r="A554" s="21" t="n"/>
      <c r="B554" s="22" t="n"/>
      <c r="C554" s="22" t="n"/>
      <c r="D554" s="35">
        <f>IF($C554="","",IFERROR(VLOOKUP($C554,'2_Control_de_Stock'!$A$11:$N$210,2,0),"⚠️ SKU no existe"))</f>
        <v/>
      </c>
      <c r="E554" s="24" t="n"/>
      <c r="F554" s="33">
        <f>IF($C554="","",IFERROR(VLOOKUP($C554,'2_Control_de_Stock'!$A$11:$N$210,11,0),0))</f>
        <v/>
      </c>
      <c r="G554" s="26">
        <f>IF(OR($C554="",$E554=""),"",$E554*$F554)</f>
        <v/>
      </c>
      <c r="H554" s="22" t="n"/>
      <c r="I554" s="33">
        <f>IF($C554="","",IFERROR($E554*VLOOKUP($C554,'2_Control_de_Stock'!$A$11:$N$210,10,0),0))</f>
        <v/>
      </c>
      <c r="J554" s="36">
        <f>IF($G554="","",$G554-$I554)</f>
        <v/>
      </c>
      <c r="K554" s="37">
        <f>IF($C554="","",IFERROR(VLOOKUP($C554,'2_Control_de_Stock'!$A$11:$N$210,3,0),""))</f>
        <v/>
      </c>
    </row>
    <row r="555">
      <c r="A555" s="21" t="n"/>
      <c r="B555" s="22" t="n"/>
      <c r="C555" s="22" t="n"/>
      <c r="D555" s="35">
        <f>IF($C555="","",IFERROR(VLOOKUP($C555,'2_Control_de_Stock'!$A$11:$N$210,2,0),"⚠️ SKU no existe"))</f>
        <v/>
      </c>
      <c r="E555" s="24" t="n"/>
      <c r="F555" s="33">
        <f>IF($C555="","",IFERROR(VLOOKUP($C555,'2_Control_de_Stock'!$A$11:$N$210,11,0),0))</f>
        <v/>
      </c>
      <c r="G555" s="26">
        <f>IF(OR($C555="",$E555=""),"",$E555*$F555)</f>
        <v/>
      </c>
      <c r="H555" s="22" t="n"/>
      <c r="I555" s="33">
        <f>IF($C555="","",IFERROR($E555*VLOOKUP($C555,'2_Control_de_Stock'!$A$11:$N$210,10,0),0))</f>
        <v/>
      </c>
      <c r="J555" s="36">
        <f>IF($G555="","",$G555-$I555)</f>
        <v/>
      </c>
      <c r="K555" s="37">
        <f>IF($C555="","",IFERROR(VLOOKUP($C555,'2_Control_de_Stock'!$A$11:$N$210,3,0),""))</f>
        <v/>
      </c>
    </row>
    <row r="556">
      <c r="A556" s="21" t="n"/>
      <c r="B556" s="22" t="n"/>
      <c r="C556" s="22" t="n"/>
      <c r="D556" s="35">
        <f>IF($C556="","",IFERROR(VLOOKUP($C556,'2_Control_de_Stock'!$A$11:$N$210,2,0),"⚠️ SKU no existe"))</f>
        <v/>
      </c>
      <c r="E556" s="24" t="n"/>
      <c r="F556" s="33">
        <f>IF($C556="","",IFERROR(VLOOKUP($C556,'2_Control_de_Stock'!$A$11:$N$210,11,0),0))</f>
        <v/>
      </c>
      <c r="G556" s="26">
        <f>IF(OR($C556="",$E556=""),"",$E556*$F556)</f>
        <v/>
      </c>
      <c r="H556" s="22" t="n"/>
      <c r="I556" s="33">
        <f>IF($C556="","",IFERROR($E556*VLOOKUP($C556,'2_Control_de_Stock'!$A$11:$N$210,10,0),0))</f>
        <v/>
      </c>
      <c r="J556" s="36">
        <f>IF($G556="","",$G556-$I556)</f>
        <v/>
      </c>
      <c r="K556" s="37">
        <f>IF($C556="","",IFERROR(VLOOKUP($C556,'2_Control_de_Stock'!$A$11:$N$210,3,0),""))</f>
        <v/>
      </c>
    </row>
    <row r="557">
      <c r="A557" s="21" t="n"/>
      <c r="B557" s="22" t="n"/>
      <c r="C557" s="22" t="n"/>
      <c r="D557" s="35">
        <f>IF($C557="","",IFERROR(VLOOKUP($C557,'2_Control_de_Stock'!$A$11:$N$210,2,0),"⚠️ SKU no existe"))</f>
        <v/>
      </c>
      <c r="E557" s="24" t="n"/>
      <c r="F557" s="33">
        <f>IF($C557="","",IFERROR(VLOOKUP($C557,'2_Control_de_Stock'!$A$11:$N$210,11,0),0))</f>
        <v/>
      </c>
      <c r="G557" s="26">
        <f>IF(OR($C557="",$E557=""),"",$E557*$F557)</f>
        <v/>
      </c>
      <c r="H557" s="22" t="n"/>
      <c r="I557" s="33">
        <f>IF($C557="","",IFERROR($E557*VLOOKUP($C557,'2_Control_de_Stock'!$A$11:$N$210,10,0),0))</f>
        <v/>
      </c>
      <c r="J557" s="36">
        <f>IF($G557="","",$G557-$I557)</f>
        <v/>
      </c>
      <c r="K557" s="37">
        <f>IF($C557="","",IFERROR(VLOOKUP($C557,'2_Control_de_Stock'!$A$11:$N$210,3,0),""))</f>
        <v/>
      </c>
    </row>
    <row r="558">
      <c r="A558" s="21" t="n"/>
      <c r="B558" s="22" t="n"/>
      <c r="C558" s="22" t="n"/>
      <c r="D558" s="35">
        <f>IF($C558="","",IFERROR(VLOOKUP($C558,'2_Control_de_Stock'!$A$11:$N$210,2,0),"⚠️ SKU no existe"))</f>
        <v/>
      </c>
      <c r="E558" s="24" t="n"/>
      <c r="F558" s="33">
        <f>IF($C558="","",IFERROR(VLOOKUP($C558,'2_Control_de_Stock'!$A$11:$N$210,11,0),0))</f>
        <v/>
      </c>
      <c r="G558" s="26">
        <f>IF(OR($C558="",$E558=""),"",$E558*$F558)</f>
        <v/>
      </c>
      <c r="H558" s="22" t="n"/>
      <c r="I558" s="33">
        <f>IF($C558="","",IFERROR($E558*VLOOKUP($C558,'2_Control_de_Stock'!$A$11:$N$210,10,0),0))</f>
        <v/>
      </c>
      <c r="J558" s="36">
        <f>IF($G558="","",$G558-$I558)</f>
        <v/>
      </c>
      <c r="K558" s="37">
        <f>IF($C558="","",IFERROR(VLOOKUP($C558,'2_Control_de_Stock'!$A$11:$N$210,3,0),""))</f>
        <v/>
      </c>
    </row>
    <row r="559">
      <c r="A559" s="21" t="n"/>
      <c r="B559" s="22" t="n"/>
      <c r="C559" s="22" t="n"/>
      <c r="D559" s="35">
        <f>IF($C559="","",IFERROR(VLOOKUP($C559,'2_Control_de_Stock'!$A$11:$N$210,2,0),"⚠️ SKU no existe"))</f>
        <v/>
      </c>
      <c r="E559" s="24" t="n"/>
      <c r="F559" s="33">
        <f>IF($C559="","",IFERROR(VLOOKUP($C559,'2_Control_de_Stock'!$A$11:$N$210,11,0),0))</f>
        <v/>
      </c>
      <c r="G559" s="26">
        <f>IF(OR($C559="",$E559=""),"",$E559*$F559)</f>
        <v/>
      </c>
      <c r="H559" s="22" t="n"/>
      <c r="I559" s="33">
        <f>IF($C559="","",IFERROR($E559*VLOOKUP($C559,'2_Control_de_Stock'!$A$11:$N$210,10,0),0))</f>
        <v/>
      </c>
      <c r="J559" s="36">
        <f>IF($G559="","",$G559-$I559)</f>
        <v/>
      </c>
      <c r="K559" s="37">
        <f>IF($C559="","",IFERROR(VLOOKUP($C559,'2_Control_de_Stock'!$A$11:$N$210,3,0),""))</f>
        <v/>
      </c>
    </row>
    <row r="560">
      <c r="A560" s="21" t="n"/>
      <c r="B560" s="22" t="n"/>
      <c r="C560" s="22" t="n"/>
      <c r="D560" s="35">
        <f>IF($C560="","",IFERROR(VLOOKUP($C560,'2_Control_de_Stock'!$A$11:$N$210,2,0),"⚠️ SKU no existe"))</f>
        <v/>
      </c>
      <c r="E560" s="24" t="n"/>
      <c r="F560" s="33">
        <f>IF($C560="","",IFERROR(VLOOKUP($C560,'2_Control_de_Stock'!$A$11:$N$210,11,0),0))</f>
        <v/>
      </c>
      <c r="G560" s="26">
        <f>IF(OR($C560="",$E560=""),"",$E560*$F560)</f>
        <v/>
      </c>
      <c r="H560" s="22" t="n"/>
      <c r="I560" s="33">
        <f>IF($C560="","",IFERROR($E560*VLOOKUP($C560,'2_Control_de_Stock'!$A$11:$N$210,10,0),0))</f>
        <v/>
      </c>
      <c r="J560" s="36">
        <f>IF($G560="","",$G560-$I560)</f>
        <v/>
      </c>
      <c r="K560" s="37">
        <f>IF($C560="","",IFERROR(VLOOKUP($C560,'2_Control_de_Stock'!$A$11:$N$210,3,0),""))</f>
        <v/>
      </c>
    </row>
    <row r="561">
      <c r="A561" s="21" t="n"/>
      <c r="B561" s="22" t="n"/>
      <c r="C561" s="22" t="n"/>
      <c r="D561" s="35">
        <f>IF($C561="","",IFERROR(VLOOKUP($C561,'2_Control_de_Stock'!$A$11:$N$210,2,0),"⚠️ SKU no existe"))</f>
        <v/>
      </c>
      <c r="E561" s="24" t="n"/>
      <c r="F561" s="33">
        <f>IF($C561="","",IFERROR(VLOOKUP($C561,'2_Control_de_Stock'!$A$11:$N$210,11,0),0))</f>
        <v/>
      </c>
      <c r="G561" s="26">
        <f>IF(OR($C561="",$E561=""),"",$E561*$F561)</f>
        <v/>
      </c>
      <c r="H561" s="22" t="n"/>
      <c r="I561" s="33">
        <f>IF($C561="","",IFERROR($E561*VLOOKUP($C561,'2_Control_de_Stock'!$A$11:$N$210,10,0),0))</f>
        <v/>
      </c>
      <c r="J561" s="36">
        <f>IF($G561="","",$G561-$I561)</f>
        <v/>
      </c>
      <c r="K561" s="37">
        <f>IF($C561="","",IFERROR(VLOOKUP($C561,'2_Control_de_Stock'!$A$11:$N$210,3,0),""))</f>
        <v/>
      </c>
    </row>
    <row r="562">
      <c r="A562" s="21" t="n"/>
      <c r="B562" s="22" t="n"/>
      <c r="C562" s="22" t="n"/>
      <c r="D562" s="35">
        <f>IF($C562="","",IFERROR(VLOOKUP($C562,'2_Control_de_Stock'!$A$11:$N$210,2,0),"⚠️ SKU no existe"))</f>
        <v/>
      </c>
      <c r="E562" s="24" t="n"/>
      <c r="F562" s="33">
        <f>IF($C562="","",IFERROR(VLOOKUP($C562,'2_Control_de_Stock'!$A$11:$N$210,11,0),0))</f>
        <v/>
      </c>
      <c r="G562" s="26">
        <f>IF(OR($C562="",$E562=""),"",$E562*$F562)</f>
        <v/>
      </c>
      <c r="H562" s="22" t="n"/>
      <c r="I562" s="33">
        <f>IF($C562="","",IFERROR($E562*VLOOKUP($C562,'2_Control_de_Stock'!$A$11:$N$210,10,0),0))</f>
        <v/>
      </c>
      <c r="J562" s="36">
        <f>IF($G562="","",$G562-$I562)</f>
        <v/>
      </c>
      <c r="K562" s="37">
        <f>IF($C562="","",IFERROR(VLOOKUP($C562,'2_Control_de_Stock'!$A$11:$N$210,3,0),""))</f>
        <v/>
      </c>
    </row>
    <row r="563">
      <c r="A563" s="21" t="n"/>
      <c r="B563" s="22" t="n"/>
      <c r="C563" s="22" t="n"/>
      <c r="D563" s="35">
        <f>IF($C563="","",IFERROR(VLOOKUP($C563,'2_Control_de_Stock'!$A$11:$N$210,2,0),"⚠️ SKU no existe"))</f>
        <v/>
      </c>
      <c r="E563" s="24" t="n"/>
      <c r="F563" s="33">
        <f>IF($C563="","",IFERROR(VLOOKUP($C563,'2_Control_de_Stock'!$A$11:$N$210,11,0),0))</f>
        <v/>
      </c>
      <c r="G563" s="26">
        <f>IF(OR($C563="",$E563=""),"",$E563*$F563)</f>
        <v/>
      </c>
      <c r="H563" s="22" t="n"/>
      <c r="I563" s="33">
        <f>IF($C563="","",IFERROR($E563*VLOOKUP($C563,'2_Control_de_Stock'!$A$11:$N$210,10,0),0))</f>
        <v/>
      </c>
      <c r="J563" s="36">
        <f>IF($G563="","",$G563-$I563)</f>
        <v/>
      </c>
      <c r="K563" s="37">
        <f>IF($C563="","",IFERROR(VLOOKUP($C563,'2_Control_de_Stock'!$A$11:$N$210,3,0),""))</f>
        <v/>
      </c>
    </row>
    <row r="564">
      <c r="A564" s="21" t="n"/>
      <c r="B564" s="22" t="n"/>
      <c r="C564" s="22" t="n"/>
      <c r="D564" s="35">
        <f>IF($C564="","",IFERROR(VLOOKUP($C564,'2_Control_de_Stock'!$A$11:$N$210,2,0),"⚠️ SKU no existe"))</f>
        <v/>
      </c>
      <c r="E564" s="24" t="n"/>
      <c r="F564" s="33">
        <f>IF($C564="","",IFERROR(VLOOKUP($C564,'2_Control_de_Stock'!$A$11:$N$210,11,0),0))</f>
        <v/>
      </c>
      <c r="G564" s="26">
        <f>IF(OR($C564="",$E564=""),"",$E564*$F564)</f>
        <v/>
      </c>
      <c r="H564" s="22" t="n"/>
      <c r="I564" s="33">
        <f>IF($C564="","",IFERROR($E564*VLOOKUP($C564,'2_Control_de_Stock'!$A$11:$N$210,10,0),0))</f>
        <v/>
      </c>
      <c r="J564" s="36">
        <f>IF($G564="","",$G564-$I564)</f>
        <v/>
      </c>
      <c r="K564" s="37">
        <f>IF($C564="","",IFERROR(VLOOKUP($C564,'2_Control_de_Stock'!$A$11:$N$210,3,0),""))</f>
        <v/>
      </c>
    </row>
    <row r="565">
      <c r="A565" s="21" t="n"/>
      <c r="B565" s="22" t="n"/>
      <c r="C565" s="22" t="n"/>
      <c r="D565" s="35">
        <f>IF($C565="","",IFERROR(VLOOKUP($C565,'2_Control_de_Stock'!$A$11:$N$210,2,0),"⚠️ SKU no existe"))</f>
        <v/>
      </c>
      <c r="E565" s="24" t="n"/>
      <c r="F565" s="33">
        <f>IF($C565="","",IFERROR(VLOOKUP($C565,'2_Control_de_Stock'!$A$11:$N$210,11,0),0))</f>
        <v/>
      </c>
      <c r="G565" s="26">
        <f>IF(OR($C565="",$E565=""),"",$E565*$F565)</f>
        <v/>
      </c>
      <c r="H565" s="22" t="n"/>
      <c r="I565" s="33">
        <f>IF($C565="","",IFERROR($E565*VLOOKUP($C565,'2_Control_de_Stock'!$A$11:$N$210,10,0),0))</f>
        <v/>
      </c>
      <c r="J565" s="36">
        <f>IF($G565="","",$G565-$I565)</f>
        <v/>
      </c>
      <c r="K565" s="37">
        <f>IF($C565="","",IFERROR(VLOOKUP($C565,'2_Control_de_Stock'!$A$11:$N$210,3,0),""))</f>
        <v/>
      </c>
    </row>
    <row r="566">
      <c r="A566" s="21" t="n"/>
      <c r="B566" s="22" t="n"/>
      <c r="C566" s="22" t="n"/>
      <c r="D566" s="35">
        <f>IF($C566="","",IFERROR(VLOOKUP($C566,'2_Control_de_Stock'!$A$11:$N$210,2,0),"⚠️ SKU no existe"))</f>
        <v/>
      </c>
      <c r="E566" s="24" t="n"/>
      <c r="F566" s="33">
        <f>IF($C566="","",IFERROR(VLOOKUP($C566,'2_Control_de_Stock'!$A$11:$N$210,11,0),0))</f>
        <v/>
      </c>
      <c r="G566" s="26">
        <f>IF(OR($C566="",$E566=""),"",$E566*$F566)</f>
        <v/>
      </c>
      <c r="H566" s="22" t="n"/>
      <c r="I566" s="33">
        <f>IF($C566="","",IFERROR($E566*VLOOKUP($C566,'2_Control_de_Stock'!$A$11:$N$210,10,0),0))</f>
        <v/>
      </c>
      <c r="J566" s="36">
        <f>IF($G566="","",$G566-$I566)</f>
        <v/>
      </c>
      <c r="K566" s="37">
        <f>IF($C566="","",IFERROR(VLOOKUP($C566,'2_Control_de_Stock'!$A$11:$N$210,3,0),""))</f>
        <v/>
      </c>
    </row>
    <row r="567">
      <c r="A567" s="21" t="n"/>
      <c r="B567" s="22" t="n"/>
      <c r="C567" s="22" t="n"/>
      <c r="D567" s="35">
        <f>IF($C567="","",IFERROR(VLOOKUP($C567,'2_Control_de_Stock'!$A$11:$N$210,2,0),"⚠️ SKU no existe"))</f>
        <v/>
      </c>
      <c r="E567" s="24" t="n"/>
      <c r="F567" s="33">
        <f>IF($C567="","",IFERROR(VLOOKUP($C567,'2_Control_de_Stock'!$A$11:$N$210,11,0),0))</f>
        <v/>
      </c>
      <c r="G567" s="26">
        <f>IF(OR($C567="",$E567=""),"",$E567*$F567)</f>
        <v/>
      </c>
      <c r="H567" s="22" t="n"/>
      <c r="I567" s="33">
        <f>IF($C567="","",IFERROR($E567*VLOOKUP($C567,'2_Control_de_Stock'!$A$11:$N$210,10,0),0))</f>
        <v/>
      </c>
      <c r="J567" s="36">
        <f>IF($G567="","",$G567-$I567)</f>
        <v/>
      </c>
      <c r="K567" s="37">
        <f>IF($C567="","",IFERROR(VLOOKUP($C567,'2_Control_de_Stock'!$A$11:$N$210,3,0),""))</f>
        <v/>
      </c>
    </row>
    <row r="568">
      <c r="A568" s="21" t="n"/>
      <c r="B568" s="22" t="n"/>
      <c r="C568" s="22" t="n"/>
      <c r="D568" s="35">
        <f>IF($C568="","",IFERROR(VLOOKUP($C568,'2_Control_de_Stock'!$A$11:$N$210,2,0),"⚠️ SKU no existe"))</f>
        <v/>
      </c>
      <c r="E568" s="24" t="n"/>
      <c r="F568" s="33">
        <f>IF($C568="","",IFERROR(VLOOKUP($C568,'2_Control_de_Stock'!$A$11:$N$210,11,0),0))</f>
        <v/>
      </c>
      <c r="G568" s="26">
        <f>IF(OR($C568="",$E568=""),"",$E568*$F568)</f>
        <v/>
      </c>
      <c r="H568" s="22" t="n"/>
      <c r="I568" s="33">
        <f>IF($C568="","",IFERROR($E568*VLOOKUP($C568,'2_Control_de_Stock'!$A$11:$N$210,10,0),0))</f>
        <v/>
      </c>
      <c r="J568" s="36">
        <f>IF($G568="","",$G568-$I568)</f>
        <v/>
      </c>
      <c r="K568" s="37">
        <f>IF($C568="","",IFERROR(VLOOKUP($C568,'2_Control_de_Stock'!$A$11:$N$210,3,0),""))</f>
        <v/>
      </c>
    </row>
    <row r="569">
      <c r="A569" s="21" t="n"/>
      <c r="B569" s="22" t="n"/>
      <c r="C569" s="22" t="n"/>
      <c r="D569" s="35">
        <f>IF($C569="","",IFERROR(VLOOKUP($C569,'2_Control_de_Stock'!$A$11:$N$210,2,0),"⚠️ SKU no existe"))</f>
        <v/>
      </c>
      <c r="E569" s="24" t="n"/>
      <c r="F569" s="33">
        <f>IF($C569="","",IFERROR(VLOOKUP($C569,'2_Control_de_Stock'!$A$11:$N$210,11,0),0))</f>
        <v/>
      </c>
      <c r="G569" s="26">
        <f>IF(OR($C569="",$E569=""),"",$E569*$F569)</f>
        <v/>
      </c>
      <c r="H569" s="22" t="n"/>
      <c r="I569" s="33">
        <f>IF($C569="","",IFERROR($E569*VLOOKUP($C569,'2_Control_de_Stock'!$A$11:$N$210,10,0),0))</f>
        <v/>
      </c>
      <c r="J569" s="36">
        <f>IF($G569="","",$G569-$I569)</f>
        <v/>
      </c>
      <c r="K569" s="37">
        <f>IF($C569="","",IFERROR(VLOOKUP($C569,'2_Control_de_Stock'!$A$11:$N$210,3,0),""))</f>
        <v/>
      </c>
    </row>
    <row r="570">
      <c r="A570" s="21" t="n"/>
      <c r="B570" s="22" t="n"/>
      <c r="C570" s="22" t="n"/>
      <c r="D570" s="35">
        <f>IF($C570="","",IFERROR(VLOOKUP($C570,'2_Control_de_Stock'!$A$11:$N$210,2,0),"⚠️ SKU no existe"))</f>
        <v/>
      </c>
      <c r="E570" s="24" t="n"/>
      <c r="F570" s="33">
        <f>IF($C570="","",IFERROR(VLOOKUP($C570,'2_Control_de_Stock'!$A$11:$N$210,11,0),0))</f>
        <v/>
      </c>
      <c r="G570" s="26">
        <f>IF(OR($C570="",$E570=""),"",$E570*$F570)</f>
        <v/>
      </c>
      <c r="H570" s="22" t="n"/>
      <c r="I570" s="33">
        <f>IF($C570="","",IFERROR($E570*VLOOKUP($C570,'2_Control_de_Stock'!$A$11:$N$210,10,0),0))</f>
        <v/>
      </c>
      <c r="J570" s="36">
        <f>IF($G570="","",$G570-$I570)</f>
        <v/>
      </c>
      <c r="K570" s="37">
        <f>IF($C570="","",IFERROR(VLOOKUP($C570,'2_Control_de_Stock'!$A$11:$N$210,3,0),""))</f>
        <v/>
      </c>
    </row>
    <row r="571">
      <c r="A571" s="21" t="n"/>
      <c r="B571" s="22" t="n"/>
      <c r="C571" s="22" t="n"/>
      <c r="D571" s="35">
        <f>IF($C571="","",IFERROR(VLOOKUP($C571,'2_Control_de_Stock'!$A$11:$N$210,2,0),"⚠️ SKU no existe"))</f>
        <v/>
      </c>
      <c r="E571" s="24" t="n"/>
      <c r="F571" s="33">
        <f>IF($C571="","",IFERROR(VLOOKUP($C571,'2_Control_de_Stock'!$A$11:$N$210,11,0),0))</f>
        <v/>
      </c>
      <c r="G571" s="26">
        <f>IF(OR($C571="",$E571=""),"",$E571*$F571)</f>
        <v/>
      </c>
      <c r="H571" s="22" t="n"/>
      <c r="I571" s="33">
        <f>IF($C571="","",IFERROR($E571*VLOOKUP($C571,'2_Control_de_Stock'!$A$11:$N$210,10,0),0))</f>
        <v/>
      </c>
      <c r="J571" s="36">
        <f>IF($G571="","",$G571-$I571)</f>
        <v/>
      </c>
      <c r="K571" s="37">
        <f>IF($C571="","",IFERROR(VLOOKUP($C571,'2_Control_de_Stock'!$A$11:$N$210,3,0),""))</f>
        <v/>
      </c>
    </row>
    <row r="572">
      <c r="A572" s="21" t="n"/>
      <c r="B572" s="22" t="n"/>
      <c r="C572" s="22" t="n"/>
      <c r="D572" s="35">
        <f>IF($C572="","",IFERROR(VLOOKUP($C572,'2_Control_de_Stock'!$A$11:$N$210,2,0),"⚠️ SKU no existe"))</f>
        <v/>
      </c>
      <c r="E572" s="24" t="n"/>
      <c r="F572" s="33">
        <f>IF($C572="","",IFERROR(VLOOKUP($C572,'2_Control_de_Stock'!$A$11:$N$210,11,0),0))</f>
        <v/>
      </c>
      <c r="G572" s="26">
        <f>IF(OR($C572="",$E572=""),"",$E572*$F572)</f>
        <v/>
      </c>
      <c r="H572" s="22" t="n"/>
      <c r="I572" s="33">
        <f>IF($C572="","",IFERROR($E572*VLOOKUP($C572,'2_Control_de_Stock'!$A$11:$N$210,10,0),0))</f>
        <v/>
      </c>
      <c r="J572" s="36">
        <f>IF($G572="","",$G572-$I572)</f>
        <v/>
      </c>
      <c r="K572" s="37">
        <f>IF($C572="","",IFERROR(VLOOKUP($C572,'2_Control_de_Stock'!$A$11:$N$210,3,0),""))</f>
        <v/>
      </c>
    </row>
    <row r="573">
      <c r="A573" s="21" t="n"/>
      <c r="B573" s="22" t="n"/>
      <c r="C573" s="22" t="n"/>
      <c r="D573" s="35">
        <f>IF($C573="","",IFERROR(VLOOKUP($C573,'2_Control_de_Stock'!$A$11:$N$210,2,0),"⚠️ SKU no existe"))</f>
        <v/>
      </c>
      <c r="E573" s="24" t="n"/>
      <c r="F573" s="33">
        <f>IF($C573="","",IFERROR(VLOOKUP($C573,'2_Control_de_Stock'!$A$11:$N$210,11,0),0))</f>
        <v/>
      </c>
      <c r="G573" s="26">
        <f>IF(OR($C573="",$E573=""),"",$E573*$F573)</f>
        <v/>
      </c>
      <c r="H573" s="22" t="n"/>
      <c r="I573" s="33">
        <f>IF($C573="","",IFERROR($E573*VLOOKUP($C573,'2_Control_de_Stock'!$A$11:$N$210,10,0),0))</f>
        <v/>
      </c>
      <c r="J573" s="36">
        <f>IF($G573="","",$G573-$I573)</f>
        <v/>
      </c>
      <c r="K573" s="37">
        <f>IF($C573="","",IFERROR(VLOOKUP($C573,'2_Control_de_Stock'!$A$11:$N$210,3,0),""))</f>
        <v/>
      </c>
    </row>
    <row r="574">
      <c r="A574" s="21" t="n"/>
      <c r="B574" s="22" t="n"/>
      <c r="C574" s="22" t="n"/>
      <c r="D574" s="35">
        <f>IF($C574="","",IFERROR(VLOOKUP($C574,'2_Control_de_Stock'!$A$11:$N$210,2,0),"⚠️ SKU no existe"))</f>
        <v/>
      </c>
      <c r="E574" s="24" t="n"/>
      <c r="F574" s="33">
        <f>IF($C574="","",IFERROR(VLOOKUP($C574,'2_Control_de_Stock'!$A$11:$N$210,11,0),0))</f>
        <v/>
      </c>
      <c r="G574" s="26">
        <f>IF(OR($C574="",$E574=""),"",$E574*$F574)</f>
        <v/>
      </c>
      <c r="H574" s="22" t="n"/>
      <c r="I574" s="33">
        <f>IF($C574="","",IFERROR($E574*VLOOKUP($C574,'2_Control_de_Stock'!$A$11:$N$210,10,0),0))</f>
        <v/>
      </c>
      <c r="J574" s="36">
        <f>IF($G574="","",$G574-$I574)</f>
        <v/>
      </c>
      <c r="K574" s="37">
        <f>IF($C574="","",IFERROR(VLOOKUP($C574,'2_Control_de_Stock'!$A$11:$N$210,3,0),""))</f>
        <v/>
      </c>
    </row>
    <row r="575">
      <c r="A575" s="21" t="n"/>
      <c r="B575" s="22" t="n"/>
      <c r="C575" s="22" t="n"/>
      <c r="D575" s="35">
        <f>IF($C575="","",IFERROR(VLOOKUP($C575,'2_Control_de_Stock'!$A$11:$N$210,2,0),"⚠️ SKU no existe"))</f>
        <v/>
      </c>
      <c r="E575" s="24" t="n"/>
      <c r="F575" s="33">
        <f>IF($C575="","",IFERROR(VLOOKUP($C575,'2_Control_de_Stock'!$A$11:$N$210,11,0),0))</f>
        <v/>
      </c>
      <c r="G575" s="26">
        <f>IF(OR($C575="",$E575=""),"",$E575*$F575)</f>
        <v/>
      </c>
      <c r="H575" s="22" t="n"/>
      <c r="I575" s="33">
        <f>IF($C575="","",IFERROR($E575*VLOOKUP($C575,'2_Control_de_Stock'!$A$11:$N$210,10,0),0))</f>
        <v/>
      </c>
      <c r="J575" s="36">
        <f>IF($G575="","",$G575-$I575)</f>
        <v/>
      </c>
      <c r="K575" s="37">
        <f>IF($C575="","",IFERROR(VLOOKUP($C575,'2_Control_de_Stock'!$A$11:$N$210,3,0),""))</f>
        <v/>
      </c>
    </row>
    <row r="576">
      <c r="A576" s="21" t="n"/>
      <c r="B576" s="22" t="n"/>
      <c r="C576" s="22" t="n"/>
      <c r="D576" s="35">
        <f>IF($C576="","",IFERROR(VLOOKUP($C576,'2_Control_de_Stock'!$A$11:$N$210,2,0),"⚠️ SKU no existe"))</f>
        <v/>
      </c>
      <c r="E576" s="24" t="n"/>
      <c r="F576" s="33">
        <f>IF($C576="","",IFERROR(VLOOKUP($C576,'2_Control_de_Stock'!$A$11:$N$210,11,0),0))</f>
        <v/>
      </c>
      <c r="G576" s="26">
        <f>IF(OR($C576="",$E576=""),"",$E576*$F576)</f>
        <v/>
      </c>
      <c r="H576" s="22" t="n"/>
      <c r="I576" s="33">
        <f>IF($C576="","",IFERROR($E576*VLOOKUP($C576,'2_Control_de_Stock'!$A$11:$N$210,10,0),0))</f>
        <v/>
      </c>
      <c r="J576" s="36">
        <f>IF($G576="","",$G576-$I576)</f>
        <v/>
      </c>
      <c r="K576" s="37">
        <f>IF($C576="","",IFERROR(VLOOKUP($C576,'2_Control_de_Stock'!$A$11:$N$210,3,0),""))</f>
        <v/>
      </c>
    </row>
    <row r="577">
      <c r="A577" s="21" t="n"/>
      <c r="B577" s="22" t="n"/>
      <c r="C577" s="22" t="n"/>
      <c r="D577" s="35">
        <f>IF($C577="","",IFERROR(VLOOKUP($C577,'2_Control_de_Stock'!$A$11:$N$210,2,0),"⚠️ SKU no existe"))</f>
        <v/>
      </c>
      <c r="E577" s="24" t="n"/>
      <c r="F577" s="33">
        <f>IF($C577="","",IFERROR(VLOOKUP($C577,'2_Control_de_Stock'!$A$11:$N$210,11,0),0))</f>
        <v/>
      </c>
      <c r="G577" s="26">
        <f>IF(OR($C577="",$E577=""),"",$E577*$F577)</f>
        <v/>
      </c>
      <c r="H577" s="22" t="n"/>
      <c r="I577" s="33">
        <f>IF($C577="","",IFERROR($E577*VLOOKUP($C577,'2_Control_de_Stock'!$A$11:$N$210,10,0),0))</f>
        <v/>
      </c>
      <c r="J577" s="36">
        <f>IF($G577="","",$G577-$I577)</f>
        <v/>
      </c>
      <c r="K577" s="37">
        <f>IF($C577="","",IFERROR(VLOOKUP($C577,'2_Control_de_Stock'!$A$11:$N$210,3,0),""))</f>
        <v/>
      </c>
    </row>
    <row r="578">
      <c r="A578" s="21" t="n"/>
      <c r="B578" s="22" t="n"/>
      <c r="C578" s="22" t="n"/>
      <c r="D578" s="35">
        <f>IF($C578="","",IFERROR(VLOOKUP($C578,'2_Control_de_Stock'!$A$11:$N$210,2,0),"⚠️ SKU no existe"))</f>
        <v/>
      </c>
      <c r="E578" s="24" t="n"/>
      <c r="F578" s="33">
        <f>IF($C578="","",IFERROR(VLOOKUP($C578,'2_Control_de_Stock'!$A$11:$N$210,11,0),0))</f>
        <v/>
      </c>
      <c r="G578" s="26">
        <f>IF(OR($C578="",$E578=""),"",$E578*$F578)</f>
        <v/>
      </c>
      <c r="H578" s="22" t="n"/>
      <c r="I578" s="33">
        <f>IF($C578="","",IFERROR($E578*VLOOKUP($C578,'2_Control_de_Stock'!$A$11:$N$210,10,0),0))</f>
        <v/>
      </c>
      <c r="J578" s="36">
        <f>IF($G578="","",$G578-$I578)</f>
        <v/>
      </c>
      <c r="K578" s="37">
        <f>IF($C578="","",IFERROR(VLOOKUP($C578,'2_Control_de_Stock'!$A$11:$N$210,3,0),""))</f>
        <v/>
      </c>
    </row>
    <row r="579">
      <c r="A579" s="21" t="n"/>
      <c r="B579" s="22" t="n"/>
      <c r="C579" s="22" t="n"/>
      <c r="D579" s="35">
        <f>IF($C579="","",IFERROR(VLOOKUP($C579,'2_Control_de_Stock'!$A$11:$N$210,2,0),"⚠️ SKU no existe"))</f>
        <v/>
      </c>
      <c r="E579" s="24" t="n"/>
      <c r="F579" s="33">
        <f>IF($C579="","",IFERROR(VLOOKUP($C579,'2_Control_de_Stock'!$A$11:$N$210,11,0),0))</f>
        <v/>
      </c>
      <c r="G579" s="26">
        <f>IF(OR($C579="",$E579=""),"",$E579*$F579)</f>
        <v/>
      </c>
      <c r="H579" s="22" t="n"/>
      <c r="I579" s="33">
        <f>IF($C579="","",IFERROR($E579*VLOOKUP($C579,'2_Control_de_Stock'!$A$11:$N$210,10,0),0))</f>
        <v/>
      </c>
      <c r="J579" s="36">
        <f>IF($G579="","",$G579-$I579)</f>
        <v/>
      </c>
      <c r="K579" s="37">
        <f>IF($C579="","",IFERROR(VLOOKUP($C579,'2_Control_de_Stock'!$A$11:$N$210,3,0),""))</f>
        <v/>
      </c>
    </row>
    <row r="580">
      <c r="A580" s="21" t="n"/>
      <c r="B580" s="22" t="n"/>
      <c r="C580" s="22" t="n"/>
      <c r="D580" s="35">
        <f>IF($C580="","",IFERROR(VLOOKUP($C580,'2_Control_de_Stock'!$A$11:$N$210,2,0),"⚠️ SKU no existe"))</f>
        <v/>
      </c>
      <c r="E580" s="24" t="n"/>
      <c r="F580" s="33">
        <f>IF($C580="","",IFERROR(VLOOKUP($C580,'2_Control_de_Stock'!$A$11:$N$210,11,0),0))</f>
        <v/>
      </c>
      <c r="G580" s="26">
        <f>IF(OR($C580="",$E580=""),"",$E580*$F580)</f>
        <v/>
      </c>
      <c r="H580" s="22" t="n"/>
      <c r="I580" s="33">
        <f>IF($C580="","",IFERROR($E580*VLOOKUP($C580,'2_Control_de_Stock'!$A$11:$N$210,10,0),0))</f>
        <v/>
      </c>
      <c r="J580" s="36">
        <f>IF($G580="","",$G580-$I580)</f>
        <v/>
      </c>
      <c r="K580" s="37">
        <f>IF($C580="","",IFERROR(VLOOKUP($C580,'2_Control_de_Stock'!$A$11:$N$210,3,0),""))</f>
        <v/>
      </c>
    </row>
    <row r="581">
      <c r="A581" s="21" t="n"/>
      <c r="B581" s="22" t="n"/>
      <c r="C581" s="22" t="n"/>
      <c r="D581" s="35">
        <f>IF($C581="","",IFERROR(VLOOKUP($C581,'2_Control_de_Stock'!$A$11:$N$210,2,0),"⚠️ SKU no existe"))</f>
        <v/>
      </c>
      <c r="E581" s="24" t="n"/>
      <c r="F581" s="33">
        <f>IF($C581="","",IFERROR(VLOOKUP($C581,'2_Control_de_Stock'!$A$11:$N$210,11,0),0))</f>
        <v/>
      </c>
      <c r="G581" s="26">
        <f>IF(OR($C581="",$E581=""),"",$E581*$F581)</f>
        <v/>
      </c>
      <c r="H581" s="22" t="n"/>
      <c r="I581" s="33">
        <f>IF($C581="","",IFERROR($E581*VLOOKUP($C581,'2_Control_de_Stock'!$A$11:$N$210,10,0),0))</f>
        <v/>
      </c>
      <c r="J581" s="36">
        <f>IF($G581="","",$G581-$I581)</f>
        <v/>
      </c>
      <c r="K581" s="37">
        <f>IF($C581="","",IFERROR(VLOOKUP($C581,'2_Control_de_Stock'!$A$11:$N$210,3,0),""))</f>
        <v/>
      </c>
    </row>
    <row r="582">
      <c r="A582" s="21" t="n"/>
      <c r="B582" s="22" t="n"/>
      <c r="C582" s="22" t="n"/>
      <c r="D582" s="35">
        <f>IF($C582="","",IFERROR(VLOOKUP($C582,'2_Control_de_Stock'!$A$11:$N$210,2,0),"⚠️ SKU no existe"))</f>
        <v/>
      </c>
      <c r="E582" s="24" t="n"/>
      <c r="F582" s="33">
        <f>IF($C582="","",IFERROR(VLOOKUP($C582,'2_Control_de_Stock'!$A$11:$N$210,11,0),0))</f>
        <v/>
      </c>
      <c r="G582" s="26">
        <f>IF(OR($C582="",$E582=""),"",$E582*$F582)</f>
        <v/>
      </c>
      <c r="H582" s="22" t="n"/>
      <c r="I582" s="33">
        <f>IF($C582="","",IFERROR($E582*VLOOKUP($C582,'2_Control_de_Stock'!$A$11:$N$210,10,0),0))</f>
        <v/>
      </c>
      <c r="J582" s="36">
        <f>IF($G582="","",$G582-$I582)</f>
        <v/>
      </c>
      <c r="K582" s="37">
        <f>IF($C582="","",IFERROR(VLOOKUP($C582,'2_Control_de_Stock'!$A$11:$N$210,3,0),""))</f>
        <v/>
      </c>
    </row>
    <row r="583">
      <c r="A583" s="21" t="n"/>
      <c r="B583" s="22" t="n"/>
      <c r="C583" s="22" t="n"/>
      <c r="D583" s="35">
        <f>IF($C583="","",IFERROR(VLOOKUP($C583,'2_Control_de_Stock'!$A$11:$N$210,2,0),"⚠️ SKU no existe"))</f>
        <v/>
      </c>
      <c r="E583" s="24" t="n"/>
      <c r="F583" s="33">
        <f>IF($C583="","",IFERROR(VLOOKUP($C583,'2_Control_de_Stock'!$A$11:$N$210,11,0),0))</f>
        <v/>
      </c>
      <c r="G583" s="26">
        <f>IF(OR($C583="",$E583=""),"",$E583*$F583)</f>
        <v/>
      </c>
      <c r="H583" s="22" t="n"/>
      <c r="I583" s="33">
        <f>IF($C583="","",IFERROR($E583*VLOOKUP($C583,'2_Control_de_Stock'!$A$11:$N$210,10,0),0))</f>
        <v/>
      </c>
      <c r="J583" s="36">
        <f>IF($G583="","",$G583-$I583)</f>
        <v/>
      </c>
      <c r="K583" s="37">
        <f>IF($C583="","",IFERROR(VLOOKUP($C583,'2_Control_de_Stock'!$A$11:$N$210,3,0),""))</f>
        <v/>
      </c>
    </row>
    <row r="584">
      <c r="A584" s="21" t="n"/>
      <c r="B584" s="22" t="n"/>
      <c r="C584" s="22" t="n"/>
      <c r="D584" s="35">
        <f>IF($C584="","",IFERROR(VLOOKUP($C584,'2_Control_de_Stock'!$A$11:$N$210,2,0),"⚠️ SKU no existe"))</f>
        <v/>
      </c>
      <c r="E584" s="24" t="n"/>
      <c r="F584" s="33">
        <f>IF($C584="","",IFERROR(VLOOKUP($C584,'2_Control_de_Stock'!$A$11:$N$210,11,0),0))</f>
        <v/>
      </c>
      <c r="G584" s="26">
        <f>IF(OR($C584="",$E584=""),"",$E584*$F584)</f>
        <v/>
      </c>
      <c r="H584" s="22" t="n"/>
      <c r="I584" s="33">
        <f>IF($C584="","",IFERROR($E584*VLOOKUP($C584,'2_Control_de_Stock'!$A$11:$N$210,10,0),0))</f>
        <v/>
      </c>
      <c r="J584" s="36">
        <f>IF($G584="","",$G584-$I584)</f>
        <v/>
      </c>
      <c r="K584" s="37">
        <f>IF($C584="","",IFERROR(VLOOKUP($C584,'2_Control_de_Stock'!$A$11:$N$210,3,0),""))</f>
        <v/>
      </c>
    </row>
    <row r="585">
      <c r="A585" s="21" t="n"/>
      <c r="B585" s="22" t="n"/>
      <c r="C585" s="22" t="n"/>
      <c r="D585" s="35">
        <f>IF($C585="","",IFERROR(VLOOKUP($C585,'2_Control_de_Stock'!$A$11:$N$210,2,0),"⚠️ SKU no existe"))</f>
        <v/>
      </c>
      <c r="E585" s="24" t="n"/>
      <c r="F585" s="33">
        <f>IF($C585="","",IFERROR(VLOOKUP($C585,'2_Control_de_Stock'!$A$11:$N$210,11,0),0))</f>
        <v/>
      </c>
      <c r="G585" s="26">
        <f>IF(OR($C585="",$E585=""),"",$E585*$F585)</f>
        <v/>
      </c>
      <c r="H585" s="22" t="n"/>
      <c r="I585" s="33">
        <f>IF($C585="","",IFERROR($E585*VLOOKUP($C585,'2_Control_de_Stock'!$A$11:$N$210,10,0),0))</f>
        <v/>
      </c>
      <c r="J585" s="36">
        <f>IF($G585="","",$G585-$I585)</f>
        <v/>
      </c>
      <c r="K585" s="37">
        <f>IF($C585="","",IFERROR(VLOOKUP($C585,'2_Control_de_Stock'!$A$11:$N$210,3,0),""))</f>
        <v/>
      </c>
    </row>
    <row r="586">
      <c r="A586" s="21" t="n"/>
      <c r="B586" s="22" t="n"/>
      <c r="C586" s="22" t="n"/>
      <c r="D586" s="35">
        <f>IF($C586="","",IFERROR(VLOOKUP($C586,'2_Control_de_Stock'!$A$11:$N$210,2,0),"⚠️ SKU no existe"))</f>
        <v/>
      </c>
      <c r="E586" s="24" t="n"/>
      <c r="F586" s="33">
        <f>IF($C586="","",IFERROR(VLOOKUP($C586,'2_Control_de_Stock'!$A$11:$N$210,11,0),0))</f>
        <v/>
      </c>
      <c r="G586" s="26">
        <f>IF(OR($C586="",$E586=""),"",$E586*$F586)</f>
        <v/>
      </c>
      <c r="H586" s="22" t="n"/>
      <c r="I586" s="33">
        <f>IF($C586="","",IFERROR($E586*VLOOKUP($C586,'2_Control_de_Stock'!$A$11:$N$210,10,0),0))</f>
        <v/>
      </c>
      <c r="J586" s="36">
        <f>IF($G586="","",$G586-$I586)</f>
        <v/>
      </c>
      <c r="K586" s="37">
        <f>IF($C586="","",IFERROR(VLOOKUP($C586,'2_Control_de_Stock'!$A$11:$N$210,3,0),""))</f>
        <v/>
      </c>
    </row>
    <row r="587">
      <c r="A587" s="21" t="n"/>
      <c r="B587" s="22" t="n"/>
      <c r="C587" s="22" t="n"/>
      <c r="D587" s="35">
        <f>IF($C587="","",IFERROR(VLOOKUP($C587,'2_Control_de_Stock'!$A$11:$N$210,2,0),"⚠️ SKU no existe"))</f>
        <v/>
      </c>
      <c r="E587" s="24" t="n"/>
      <c r="F587" s="33">
        <f>IF($C587="","",IFERROR(VLOOKUP($C587,'2_Control_de_Stock'!$A$11:$N$210,11,0),0))</f>
        <v/>
      </c>
      <c r="G587" s="26">
        <f>IF(OR($C587="",$E587=""),"",$E587*$F587)</f>
        <v/>
      </c>
      <c r="H587" s="22" t="n"/>
      <c r="I587" s="33">
        <f>IF($C587="","",IFERROR($E587*VLOOKUP($C587,'2_Control_de_Stock'!$A$11:$N$210,10,0),0))</f>
        <v/>
      </c>
      <c r="J587" s="36">
        <f>IF($G587="","",$G587-$I587)</f>
        <v/>
      </c>
      <c r="K587" s="37">
        <f>IF($C587="","",IFERROR(VLOOKUP($C587,'2_Control_de_Stock'!$A$11:$N$210,3,0),""))</f>
        <v/>
      </c>
    </row>
    <row r="588">
      <c r="A588" s="21" t="n"/>
      <c r="B588" s="22" t="n"/>
      <c r="C588" s="22" t="n"/>
      <c r="D588" s="35">
        <f>IF($C588="","",IFERROR(VLOOKUP($C588,'2_Control_de_Stock'!$A$11:$N$210,2,0),"⚠️ SKU no existe"))</f>
        <v/>
      </c>
      <c r="E588" s="24" t="n"/>
      <c r="F588" s="33">
        <f>IF($C588="","",IFERROR(VLOOKUP($C588,'2_Control_de_Stock'!$A$11:$N$210,11,0),0))</f>
        <v/>
      </c>
      <c r="G588" s="26">
        <f>IF(OR($C588="",$E588=""),"",$E588*$F588)</f>
        <v/>
      </c>
      <c r="H588" s="22" t="n"/>
      <c r="I588" s="33">
        <f>IF($C588="","",IFERROR($E588*VLOOKUP($C588,'2_Control_de_Stock'!$A$11:$N$210,10,0),0))</f>
        <v/>
      </c>
      <c r="J588" s="36">
        <f>IF($G588="","",$G588-$I588)</f>
        <v/>
      </c>
      <c r="K588" s="37">
        <f>IF($C588="","",IFERROR(VLOOKUP($C588,'2_Control_de_Stock'!$A$11:$N$210,3,0),""))</f>
        <v/>
      </c>
    </row>
    <row r="589">
      <c r="A589" s="21" t="n"/>
      <c r="B589" s="22" t="n"/>
      <c r="C589" s="22" t="n"/>
      <c r="D589" s="35">
        <f>IF($C589="","",IFERROR(VLOOKUP($C589,'2_Control_de_Stock'!$A$11:$N$210,2,0),"⚠️ SKU no existe"))</f>
        <v/>
      </c>
      <c r="E589" s="24" t="n"/>
      <c r="F589" s="33">
        <f>IF($C589="","",IFERROR(VLOOKUP($C589,'2_Control_de_Stock'!$A$11:$N$210,11,0),0))</f>
        <v/>
      </c>
      <c r="G589" s="26">
        <f>IF(OR($C589="",$E589=""),"",$E589*$F589)</f>
        <v/>
      </c>
      <c r="H589" s="22" t="n"/>
      <c r="I589" s="33">
        <f>IF($C589="","",IFERROR($E589*VLOOKUP($C589,'2_Control_de_Stock'!$A$11:$N$210,10,0),0))</f>
        <v/>
      </c>
      <c r="J589" s="36">
        <f>IF($G589="","",$G589-$I589)</f>
        <v/>
      </c>
      <c r="K589" s="37">
        <f>IF($C589="","",IFERROR(VLOOKUP($C589,'2_Control_de_Stock'!$A$11:$N$210,3,0),""))</f>
        <v/>
      </c>
    </row>
    <row r="590">
      <c r="A590" s="21" t="n"/>
      <c r="B590" s="22" t="n"/>
      <c r="C590" s="22" t="n"/>
      <c r="D590" s="35">
        <f>IF($C590="","",IFERROR(VLOOKUP($C590,'2_Control_de_Stock'!$A$11:$N$210,2,0),"⚠️ SKU no existe"))</f>
        <v/>
      </c>
      <c r="E590" s="24" t="n"/>
      <c r="F590" s="33">
        <f>IF($C590="","",IFERROR(VLOOKUP($C590,'2_Control_de_Stock'!$A$11:$N$210,11,0),0))</f>
        <v/>
      </c>
      <c r="G590" s="26">
        <f>IF(OR($C590="",$E590=""),"",$E590*$F590)</f>
        <v/>
      </c>
      <c r="H590" s="22" t="n"/>
      <c r="I590" s="33">
        <f>IF($C590="","",IFERROR($E590*VLOOKUP($C590,'2_Control_de_Stock'!$A$11:$N$210,10,0),0))</f>
        <v/>
      </c>
      <c r="J590" s="36">
        <f>IF($G590="","",$G590-$I590)</f>
        <v/>
      </c>
      <c r="K590" s="37">
        <f>IF($C590="","",IFERROR(VLOOKUP($C590,'2_Control_de_Stock'!$A$11:$N$210,3,0),""))</f>
        <v/>
      </c>
    </row>
    <row r="591">
      <c r="A591" s="21" t="n"/>
      <c r="B591" s="22" t="n"/>
      <c r="C591" s="22" t="n"/>
      <c r="D591" s="35">
        <f>IF($C591="","",IFERROR(VLOOKUP($C591,'2_Control_de_Stock'!$A$11:$N$210,2,0),"⚠️ SKU no existe"))</f>
        <v/>
      </c>
      <c r="E591" s="24" t="n"/>
      <c r="F591" s="33">
        <f>IF($C591="","",IFERROR(VLOOKUP($C591,'2_Control_de_Stock'!$A$11:$N$210,11,0),0))</f>
        <v/>
      </c>
      <c r="G591" s="26">
        <f>IF(OR($C591="",$E591=""),"",$E591*$F591)</f>
        <v/>
      </c>
      <c r="H591" s="22" t="n"/>
      <c r="I591" s="33">
        <f>IF($C591="","",IFERROR($E591*VLOOKUP($C591,'2_Control_de_Stock'!$A$11:$N$210,10,0),0))</f>
        <v/>
      </c>
      <c r="J591" s="36">
        <f>IF($G591="","",$G591-$I591)</f>
        <v/>
      </c>
      <c r="K591" s="37">
        <f>IF($C591="","",IFERROR(VLOOKUP($C591,'2_Control_de_Stock'!$A$11:$N$210,3,0),""))</f>
        <v/>
      </c>
    </row>
    <row r="592">
      <c r="A592" s="21" t="n"/>
      <c r="B592" s="22" t="n"/>
      <c r="C592" s="22" t="n"/>
      <c r="D592" s="35">
        <f>IF($C592="","",IFERROR(VLOOKUP($C592,'2_Control_de_Stock'!$A$11:$N$210,2,0),"⚠️ SKU no existe"))</f>
        <v/>
      </c>
      <c r="E592" s="24" t="n"/>
      <c r="F592" s="33">
        <f>IF($C592="","",IFERROR(VLOOKUP($C592,'2_Control_de_Stock'!$A$11:$N$210,11,0),0))</f>
        <v/>
      </c>
      <c r="G592" s="26">
        <f>IF(OR($C592="",$E592=""),"",$E592*$F592)</f>
        <v/>
      </c>
      <c r="H592" s="22" t="n"/>
      <c r="I592" s="33">
        <f>IF($C592="","",IFERROR($E592*VLOOKUP($C592,'2_Control_de_Stock'!$A$11:$N$210,10,0),0))</f>
        <v/>
      </c>
      <c r="J592" s="36">
        <f>IF($G592="","",$G592-$I592)</f>
        <v/>
      </c>
      <c r="K592" s="37">
        <f>IF($C592="","",IFERROR(VLOOKUP($C592,'2_Control_de_Stock'!$A$11:$N$210,3,0),""))</f>
        <v/>
      </c>
    </row>
    <row r="593">
      <c r="A593" s="21" t="n"/>
      <c r="B593" s="22" t="n"/>
      <c r="C593" s="22" t="n"/>
      <c r="D593" s="35">
        <f>IF($C593="","",IFERROR(VLOOKUP($C593,'2_Control_de_Stock'!$A$11:$N$210,2,0),"⚠️ SKU no existe"))</f>
        <v/>
      </c>
      <c r="E593" s="24" t="n"/>
      <c r="F593" s="33">
        <f>IF($C593="","",IFERROR(VLOOKUP($C593,'2_Control_de_Stock'!$A$11:$N$210,11,0),0))</f>
        <v/>
      </c>
      <c r="G593" s="26">
        <f>IF(OR($C593="",$E593=""),"",$E593*$F593)</f>
        <v/>
      </c>
      <c r="H593" s="22" t="n"/>
      <c r="I593" s="33">
        <f>IF($C593="","",IFERROR($E593*VLOOKUP($C593,'2_Control_de_Stock'!$A$11:$N$210,10,0),0))</f>
        <v/>
      </c>
      <c r="J593" s="36">
        <f>IF($G593="","",$G593-$I593)</f>
        <v/>
      </c>
      <c r="K593" s="37">
        <f>IF($C593="","",IFERROR(VLOOKUP($C593,'2_Control_de_Stock'!$A$11:$N$210,3,0),""))</f>
        <v/>
      </c>
    </row>
    <row r="594">
      <c r="A594" s="21" t="n"/>
      <c r="B594" s="22" t="n"/>
      <c r="C594" s="22" t="n"/>
      <c r="D594" s="35">
        <f>IF($C594="","",IFERROR(VLOOKUP($C594,'2_Control_de_Stock'!$A$11:$N$210,2,0),"⚠️ SKU no existe"))</f>
        <v/>
      </c>
      <c r="E594" s="24" t="n"/>
      <c r="F594" s="33">
        <f>IF($C594="","",IFERROR(VLOOKUP($C594,'2_Control_de_Stock'!$A$11:$N$210,11,0),0))</f>
        <v/>
      </c>
      <c r="G594" s="26">
        <f>IF(OR($C594="",$E594=""),"",$E594*$F594)</f>
        <v/>
      </c>
      <c r="H594" s="22" t="n"/>
      <c r="I594" s="33">
        <f>IF($C594="","",IFERROR($E594*VLOOKUP($C594,'2_Control_de_Stock'!$A$11:$N$210,10,0),0))</f>
        <v/>
      </c>
      <c r="J594" s="36">
        <f>IF($G594="","",$G594-$I594)</f>
        <v/>
      </c>
      <c r="K594" s="37">
        <f>IF($C594="","",IFERROR(VLOOKUP($C594,'2_Control_de_Stock'!$A$11:$N$210,3,0),""))</f>
        <v/>
      </c>
    </row>
    <row r="595">
      <c r="A595" s="21" t="n"/>
      <c r="B595" s="22" t="n"/>
      <c r="C595" s="22" t="n"/>
      <c r="D595" s="35">
        <f>IF($C595="","",IFERROR(VLOOKUP($C595,'2_Control_de_Stock'!$A$11:$N$210,2,0),"⚠️ SKU no existe"))</f>
        <v/>
      </c>
      <c r="E595" s="24" t="n"/>
      <c r="F595" s="33">
        <f>IF($C595="","",IFERROR(VLOOKUP($C595,'2_Control_de_Stock'!$A$11:$N$210,11,0),0))</f>
        <v/>
      </c>
      <c r="G595" s="26">
        <f>IF(OR($C595="",$E595=""),"",$E595*$F595)</f>
        <v/>
      </c>
      <c r="H595" s="22" t="n"/>
      <c r="I595" s="33">
        <f>IF($C595="","",IFERROR($E595*VLOOKUP($C595,'2_Control_de_Stock'!$A$11:$N$210,10,0),0))</f>
        <v/>
      </c>
      <c r="J595" s="36">
        <f>IF($G595="","",$G595-$I595)</f>
        <v/>
      </c>
      <c r="K595" s="37">
        <f>IF($C595="","",IFERROR(VLOOKUP($C595,'2_Control_de_Stock'!$A$11:$N$210,3,0),""))</f>
        <v/>
      </c>
    </row>
    <row r="596">
      <c r="A596" s="21" t="n"/>
      <c r="B596" s="22" t="n"/>
      <c r="C596" s="22" t="n"/>
      <c r="D596" s="35">
        <f>IF($C596="","",IFERROR(VLOOKUP($C596,'2_Control_de_Stock'!$A$11:$N$210,2,0),"⚠️ SKU no existe"))</f>
        <v/>
      </c>
      <c r="E596" s="24" t="n"/>
      <c r="F596" s="33">
        <f>IF($C596="","",IFERROR(VLOOKUP($C596,'2_Control_de_Stock'!$A$11:$N$210,11,0),0))</f>
        <v/>
      </c>
      <c r="G596" s="26">
        <f>IF(OR($C596="",$E596=""),"",$E596*$F596)</f>
        <v/>
      </c>
      <c r="H596" s="22" t="n"/>
      <c r="I596" s="33">
        <f>IF($C596="","",IFERROR($E596*VLOOKUP($C596,'2_Control_de_Stock'!$A$11:$N$210,10,0),0))</f>
        <v/>
      </c>
      <c r="J596" s="36">
        <f>IF($G596="","",$G596-$I596)</f>
        <v/>
      </c>
      <c r="K596" s="37">
        <f>IF($C596="","",IFERROR(VLOOKUP($C596,'2_Control_de_Stock'!$A$11:$N$210,3,0),""))</f>
        <v/>
      </c>
    </row>
    <row r="597">
      <c r="A597" s="21" t="n"/>
      <c r="B597" s="22" t="n"/>
      <c r="C597" s="22" t="n"/>
      <c r="D597" s="35">
        <f>IF($C597="","",IFERROR(VLOOKUP($C597,'2_Control_de_Stock'!$A$11:$N$210,2,0),"⚠️ SKU no existe"))</f>
        <v/>
      </c>
      <c r="E597" s="24" t="n"/>
      <c r="F597" s="33">
        <f>IF($C597="","",IFERROR(VLOOKUP($C597,'2_Control_de_Stock'!$A$11:$N$210,11,0),0))</f>
        <v/>
      </c>
      <c r="G597" s="26">
        <f>IF(OR($C597="",$E597=""),"",$E597*$F597)</f>
        <v/>
      </c>
      <c r="H597" s="22" t="n"/>
      <c r="I597" s="33">
        <f>IF($C597="","",IFERROR($E597*VLOOKUP($C597,'2_Control_de_Stock'!$A$11:$N$210,10,0),0))</f>
        <v/>
      </c>
      <c r="J597" s="36">
        <f>IF($G597="","",$G597-$I597)</f>
        <v/>
      </c>
      <c r="K597" s="37">
        <f>IF($C597="","",IFERROR(VLOOKUP($C597,'2_Control_de_Stock'!$A$11:$N$210,3,0),""))</f>
        <v/>
      </c>
    </row>
    <row r="598">
      <c r="A598" s="21" t="n"/>
      <c r="B598" s="22" t="n"/>
      <c r="C598" s="22" t="n"/>
      <c r="D598" s="35">
        <f>IF($C598="","",IFERROR(VLOOKUP($C598,'2_Control_de_Stock'!$A$11:$N$210,2,0),"⚠️ SKU no existe"))</f>
        <v/>
      </c>
      <c r="E598" s="24" t="n"/>
      <c r="F598" s="33">
        <f>IF($C598="","",IFERROR(VLOOKUP($C598,'2_Control_de_Stock'!$A$11:$N$210,11,0),0))</f>
        <v/>
      </c>
      <c r="G598" s="26">
        <f>IF(OR($C598="",$E598=""),"",$E598*$F598)</f>
        <v/>
      </c>
      <c r="H598" s="22" t="n"/>
      <c r="I598" s="33">
        <f>IF($C598="","",IFERROR($E598*VLOOKUP($C598,'2_Control_de_Stock'!$A$11:$N$210,10,0),0))</f>
        <v/>
      </c>
      <c r="J598" s="36">
        <f>IF($G598="","",$G598-$I598)</f>
        <v/>
      </c>
      <c r="K598" s="37">
        <f>IF($C598="","",IFERROR(VLOOKUP($C598,'2_Control_de_Stock'!$A$11:$N$210,3,0),""))</f>
        <v/>
      </c>
    </row>
    <row r="599">
      <c r="A599" s="21" t="n"/>
      <c r="B599" s="22" t="n"/>
      <c r="C599" s="22" t="n"/>
      <c r="D599" s="35">
        <f>IF($C599="","",IFERROR(VLOOKUP($C599,'2_Control_de_Stock'!$A$11:$N$210,2,0),"⚠️ SKU no existe"))</f>
        <v/>
      </c>
      <c r="E599" s="24" t="n"/>
      <c r="F599" s="33">
        <f>IF($C599="","",IFERROR(VLOOKUP($C599,'2_Control_de_Stock'!$A$11:$N$210,11,0),0))</f>
        <v/>
      </c>
      <c r="G599" s="26">
        <f>IF(OR($C599="",$E599=""),"",$E599*$F599)</f>
        <v/>
      </c>
      <c r="H599" s="22" t="n"/>
      <c r="I599" s="33">
        <f>IF($C599="","",IFERROR($E599*VLOOKUP($C599,'2_Control_de_Stock'!$A$11:$N$210,10,0),0))</f>
        <v/>
      </c>
      <c r="J599" s="36">
        <f>IF($G599="","",$G599-$I599)</f>
        <v/>
      </c>
      <c r="K599" s="37">
        <f>IF($C599="","",IFERROR(VLOOKUP($C599,'2_Control_de_Stock'!$A$11:$N$210,3,0),""))</f>
        <v/>
      </c>
    </row>
    <row r="600">
      <c r="A600" s="21" t="n"/>
      <c r="B600" s="22" t="n"/>
      <c r="C600" s="22" t="n"/>
      <c r="D600" s="35">
        <f>IF($C600="","",IFERROR(VLOOKUP($C600,'2_Control_de_Stock'!$A$11:$N$210,2,0),"⚠️ SKU no existe"))</f>
        <v/>
      </c>
      <c r="E600" s="24" t="n"/>
      <c r="F600" s="33">
        <f>IF($C600="","",IFERROR(VLOOKUP($C600,'2_Control_de_Stock'!$A$11:$N$210,11,0),0))</f>
        <v/>
      </c>
      <c r="G600" s="26">
        <f>IF(OR($C600="",$E600=""),"",$E600*$F600)</f>
        <v/>
      </c>
      <c r="H600" s="22" t="n"/>
      <c r="I600" s="33">
        <f>IF($C600="","",IFERROR($E600*VLOOKUP($C600,'2_Control_de_Stock'!$A$11:$N$210,10,0),0))</f>
        <v/>
      </c>
      <c r="J600" s="36">
        <f>IF($G600="","",$G600-$I600)</f>
        <v/>
      </c>
      <c r="K600" s="37">
        <f>IF($C600="","",IFERROR(VLOOKUP($C600,'2_Control_de_Stock'!$A$11:$N$210,3,0),""))</f>
        <v/>
      </c>
    </row>
    <row r="601">
      <c r="A601" s="21" t="n"/>
      <c r="B601" s="22" t="n"/>
      <c r="C601" s="22" t="n"/>
      <c r="D601" s="35">
        <f>IF($C601="","",IFERROR(VLOOKUP($C601,'2_Control_de_Stock'!$A$11:$N$210,2,0),"⚠️ SKU no existe"))</f>
        <v/>
      </c>
      <c r="E601" s="24" t="n"/>
      <c r="F601" s="33">
        <f>IF($C601="","",IFERROR(VLOOKUP($C601,'2_Control_de_Stock'!$A$11:$N$210,11,0),0))</f>
        <v/>
      </c>
      <c r="G601" s="26">
        <f>IF(OR($C601="",$E601=""),"",$E601*$F601)</f>
        <v/>
      </c>
      <c r="H601" s="22" t="n"/>
      <c r="I601" s="33">
        <f>IF($C601="","",IFERROR($E601*VLOOKUP($C601,'2_Control_de_Stock'!$A$11:$N$210,10,0),0))</f>
        <v/>
      </c>
      <c r="J601" s="36">
        <f>IF($G601="","",$G601-$I601)</f>
        <v/>
      </c>
      <c r="K601" s="37">
        <f>IF($C601="","",IFERROR(VLOOKUP($C601,'2_Control_de_Stock'!$A$11:$N$210,3,0),""))</f>
        <v/>
      </c>
    </row>
    <row r="602">
      <c r="A602" s="21" t="n"/>
      <c r="B602" s="22" t="n"/>
      <c r="C602" s="22" t="n"/>
      <c r="D602" s="35">
        <f>IF($C602="","",IFERROR(VLOOKUP($C602,'2_Control_de_Stock'!$A$11:$N$210,2,0),"⚠️ SKU no existe"))</f>
        <v/>
      </c>
      <c r="E602" s="24" t="n"/>
      <c r="F602" s="33">
        <f>IF($C602="","",IFERROR(VLOOKUP($C602,'2_Control_de_Stock'!$A$11:$N$210,11,0),0))</f>
        <v/>
      </c>
      <c r="G602" s="26">
        <f>IF(OR($C602="",$E602=""),"",$E602*$F602)</f>
        <v/>
      </c>
      <c r="H602" s="22" t="n"/>
      <c r="I602" s="33">
        <f>IF($C602="","",IFERROR($E602*VLOOKUP($C602,'2_Control_de_Stock'!$A$11:$N$210,10,0),0))</f>
        <v/>
      </c>
      <c r="J602" s="36">
        <f>IF($G602="","",$G602-$I602)</f>
        <v/>
      </c>
      <c r="K602" s="37">
        <f>IF($C602="","",IFERROR(VLOOKUP($C602,'2_Control_de_Stock'!$A$11:$N$210,3,0),""))</f>
        <v/>
      </c>
    </row>
    <row r="603">
      <c r="A603" s="21" t="n"/>
      <c r="B603" s="22" t="n"/>
      <c r="C603" s="22" t="n"/>
      <c r="D603" s="35">
        <f>IF($C603="","",IFERROR(VLOOKUP($C603,'2_Control_de_Stock'!$A$11:$N$210,2,0),"⚠️ SKU no existe"))</f>
        <v/>
      </c>
      <c r="E603" s="24" t="n"/>
      <c r="F603" s="33">
        <f>IF($C603="","",IFERROR(VLOOKUP($C603,'2_Control_de_Stock'!$A$11:$N$210,11,0),0))</f>
        <v/>
      </c>
      <c r="G603" s="26">
        <f>IF(OR($C603="",$E603=""),"",$E603*$F603)</f>
        <v/>
      </c>
      <c r="H603" s="22" t="n"/>
      <c r="I603" s="33">
        <f>IF($C603="","",IFERROR($E603*VLOOKUP($C603,'2_Control_de_Stock'!$A$11:$N$210,10,0),0))</f>
        <v/>
      </c>
      <c r="J603" s="36">
        <f>IF($G603="","",$G603-$I603)</f>
        <v/>
      </c>
      <c r="K603" s="37">
        <f>IF($C603="","",IFERROR(VLOOKUP($C603,'2_Control_de_Stock'!$A$11:$N$210,3,0),""))</f>
        <v/>
      </c>
    </row>
    <row r="604">
      <c r="A604" s="21" t="n"/>
      <c r="B604" s="22" t="n"/>
      <c r="C604" s="22" t="n"/>
      <c r="D604" s="35">
        <f>IF($C604="","",IFERROR(VLOOKUP($C604,'2_Control_de_Stock'!$A$11:$N$210,2,0),"⚠️ SKU no existe"))</f>
        <v/>
      </c>
      <c r="E604" s="24" t="n"/>
      <c r="F604" s="33">
        <f>IF($C604="","",IFERROR(VLOOKUP($C604,'2_Control_de_Stock'!$A$11:$N$210,11,0),0))</f>
        <v/>
      </c>
      <c r="G604" s="26">
        <f>IF(OR($C604="",$E604=""),"",$E604*$F604)</f>
        <v/>
      </c>
      <c r="H604" s="22" t="n"/>
      <c r="I604" s="33">
        <f>IF($C604="","",IFERROR($E604*VLOOKUP($C604,'2_Control_de_Stock'!$A$11:$N$210,10,0),0))</f>
        <v/>
      </c>
      <c r="J604" s="36">
        <f>IF($G604="","",$G604-$I604)</f>
        <v/>
      </c>
      <c r="K604" s="37">
        <f>IF($C604="","",IFERROR(VLOOKUP($C604,'2_Control_de_Stock'!$A$11:$N$210,3,0),""))</f>
        <v/>
      </c>
    </row>
    <row r="605">
      <c r="A605" s="21" t="n"/>
      <c r="B605" s="22" t="n"/>
      <c r="C605" s="22" t="n"/>
      <c r="D605" s="35">
        <f>IF($C605="","",IFERROR(VLOOKUP($C605,'2_Control_de_Stock'!$A$11:$N$210,2,0),"⚠️ SKU no existe"))</f>
        <v/>
      </c>
      <c r="E605" s="24" t="n"/>
      <c r="F605" s="33">
        <f>IF($C605="","",IFERROR(VLOOKUP($C605,'2_Control_de_Stock'!$A$11:$N$210,11,0),0))</f>
        <v/>
      </c>
      <c r="G605" s="26">
        <f>IF(OR($C605="",$E605=""),"",$E605*$F605)</f>
        <v/>
      </c>
      <c r="H605" s="22" t="n"/>
      <c r="I605" s="33">
        <f>IF($C605="","",IFERROR($E605*VLOOKUP($C605,'2_Control_de_Stock'!$A$11:$N$210,10,0),0))</f>
        <v/>
      </c>
      <c r="J605" s="36">
        <f>IF($G605="","",$G605-$I605)</f>
        <v/>
      </c>
      <c r="K605" s="37">
        <f>IF($C605="","",IFERROR(VLOOKUP($C605,'2_Control_de_Stock'!$A$11:$N$210,3,0),""))</f>
        <v/>
      </c>
    </row>
    <row r="606">
      <c r="A606" s="21" t="n"/>
      <c r="B606" s="22" t="n"/>
      <c r="C606" s="22" t="n"/>
      <c r="D606" s="35">
        <f>IF($C606="","",IFERROR(VLOOKUP($C606,'2_Control_de_Stock'!$A$11:$N$210,2,0),"⚠️ SKU no existe"))</f>
        <v/>
      </c>
      <c r="E606" s="24" t="n"/>
      <c r="F606" s="33">
        <f>IF($C606="","",IFERROR(VLOOKUP($C606,'2_Control_de_Stock'!$A$11:$N$210,11,0),0))</f>
        <v/>
      </c>
      <c r="G606" s="26">
        <f>IF(OR($C606="",$E606=""),"",$E606*$F606)</f>
        <v/>
      </c>
      <c r="H606" s="22" t="n"/>
      <c r="I606" s="33">
        <f>IF($C606="","",IFERROR($E606*VLOOKUP($C606,'2_Control_de_Stock'!$A$11:$N$210,10,0),0))</f>
        <v/>
      </c>
      <c r="J606" s="36">
        <f>IF($G606="","",$G606-$I606)</f>
        <v/>
      </c>
      <c r="K606" s="37">
        <f>IF($C606="","",IFERROR(VLOOKUP($C606,'2_Control_de_Stock'!$A$11:$N$210,3,0),""))</f>
        <v/>
      </c>
    </row>
    <row r="607">
      <c r="A607" s="21" t="n"/>
      <c r="B607" s="22" t="n"/>
      <c r="C607" s="22" t="n"/>
      <c r="D607" s="35">
        <f>IF($C607="","",IFERROR(VLOOKUP($C607,'2_Control_de_Stock'!$A$11:$N$210,2,0),"⚠️ SKU no existe"))</f>
        <v/>
      </c>
      <c r="E607" s="24" t="n"/>
      <c r="F607" s="33">
        <f>IF($C607="","",IFERROR(VLOOKUP($C607,'2_Control_de_Stock'!$A$11:$N$210,11,0),0))</f>
        <v/>
      </c>
      <c r="G607" s="26">
        <f>IF(OR($C607="",$E607=""),"",$E607*$F607)</f>
        <v/>
      </c>
      <c r="H607" s="22" t="n"/>
      <c r="I607" s="33">
        <f>IF($C607="","",IFERROR($E607*VLOOKUP($C607,'2_Control_de_Stock'!$A$11:$N$210,10,0),0))</f>
        <v/>
      </c>
      <c r="J607" s="36">
        <f>IF($G607="","",$G607-$I607)</f>
        <v/>
      </c>
      <c r="K607" s="37">
        <f>IF($C607="","",IFERROR(VLOOKUP($C607,'2_Control_de_Stock'!$A$11:$N$210,3,0),""))</f>
        <v/>
      </c>
    </row>
    <row r="608">
      <c r="A608" s="21" t="n"/>
      <c r="B608" s="22" t="n"/>
      <c r="C608" s="22" t="n"/>
      <c r="D608" s="35">
        <f>IF($C608="","",IFERROR(VLOOKUP($C608,'2_Control_de_Stock'!$A$11:$N$210,2,0),"⚠️ SKU no existe"))</f>
        <v/>
      </c>
      <c r="E608" s="24" t="n"/>
      <c r="F608" s="33">
        <f>IF($C608="","",IFERROR(VLOOKUP($C608,'2_Control_de_Stock'!$A$11:$N$210,11,0),0))</f>
        <v/>
      </c>
      <c r="G608" s="26">
        <f>IF(OR($C608="",$E608=""),"",$E608*$F608)</f>
        <v/>
      </c>
      <c r="H608" s="22" t="n"/>
      <c r="I608" s="33">
        <f>IF($C608="","",IFERROR($E608*VLOOKUP($C608,'2_Control_de_Stock'!$A$11:$N$210,10,0),0))</f>
        <v/>
      </c>
      <c r="J608" s="36">
        <f>IF($G608="","",$G608-$I608)</f>
        <v/>
      </c>
      <c r="K608" s="37">
        <f>IF($C608="","",IFERROR(VLOOKUP($C608,'2_Control_de_Stock'!$A$11:$N$210,3,0),""))</f>
        <v/>
      </c>
    </row>
    <row r="609">
      <c r="A609" s="21" t="n"/>
      <c r="B609" s="22" t="n"/>
      <c r="C609" s="22" t="n"/>
      <c r="D609" s="35">
        <f>IF($C609="","",IFERROR(VLOOKUP($C609,'2_Control_de_Stock'!$A$11:$N$210,2,0),"⚠️ SKU no existe"))</f>
        <v/>
      </c>
      <c r="E609" s="24" t="n"/>
      <c r="F609" s="33">
        <f>IF($C609="","",IFERROR(VLOOKUP($C609,'2_Control_de_Stock'!$A$11:$N$210,11,0),0))</f>
        <v/>
      </c>
      <c r="G609" s="26">
        <f>IF(OR($C609="",$E609=""),"",$E609*$F609)</f>
        <v/>
      </c>
      <c r="H609" s="22" t="n"/>
      <c r="I609" s="33">
        <f>IF($C609="","",IFERROR($E609*VLOOKUP($C609,'2_Control_de_Stock'!$A$11:$N$210,10,0),0))</f>
        <v/>
      </c>
      <c r="J609" s="36">
        <f>IF($G609="","",$G609-$I609)</f>
        <v/>
      </c>
      <c r="K609" s="37">
        <f>IF($C609="","",IFERROR(VLOOKUP($C609,'2_Control_de_Stock'!$A$11:$N$210,3,0),""))</f>
        <v/>
      </c>
    </row>
    <row r="610">
      <c r="A610" s="21" t="n"/>
      <c r="B610" s="22" t="n"/>
      <c r="C610" s="22" t="n"/>
      <c r="D610" s="35">
        <f>IF($C610="","",IFERROR(VLOOKUP($C610,'2_Control_de_Stock'!$A$11:$N$210,2,0),"⚠️ SKU no existe"))</f>
        <v/>
      </c>
      <c r="E610" s="24" t="n"/>
      <c r="F610" s="33">
        <f>IF($C610="","",IFERROR(VLOOKUP($C610,'2_Control_de_Stock'!$A$11:$N$210,11,0),0))</f>
        <v/>
      </c>
      <c r="G610" s="26">
        <f>IF(OR($C610="",$E610=""),"",$E610*$F610)</f>
        <v/>
      </c>
      <c r="H610" s="22" t="n"/>
      <c r="I610" s="33">
        <f>IF($C610="","",IFERROR($E610*VLOOKUP($C610,'2_Control_de_Stock'!$A$11:$N$210,10,0),0))</f>
        <v/>
      </c>
      <c r="J610" s="36">
        <f>IF($G610="","",$G610-$I610)</f>
        <v/>
      </c>
      <c r="K610" s="37">
        <f>IF($C610="","",IFERROR(VLOOKUP($C610,'2_Control_de_Stock'!$A$11:$N$210,3,0),""))</f>
        <v/>
      </c>
    </row>
  </sheetData>
  <autoFilter ref="A10:K610"/>
  <mergeCells count="12">
    <mergeCell ref="I7:K8"/>
    <mergeCell ref="E6:F6"/>
    <mergeCell ref="C6:D6"/>
    <mergeCell ref="G7:H8"/>
    <mergeCell ref="C7:D8"/>
    <mergeCell ref="A7:B8"/>
    <mergeCell ref="E7:F8"/>
    <mergeCell ref="A1:K4"/>
    <mergeCell ref="G6:H6"/>
    <mergeCell ref="A6:B6"/>
    <mergeCell ref="A9:K9"/>
    <mergeCell ref="I6:K6"/>
  </mergeCells>
  <conditionalFormatting sqref="A11:K610">
    <cfRule type="expression" priority="1" dxfId="0" stopIfTrue="0">
      <formula>AND(MOD(ROW(),2)=0,$A11&lt;&gt;"")</formula>
    </cfRule>
    <cfRule type="expression" priority="2" dxfId="1" stopIfTrue="0">
      <formula>AND(MOD(ROW(),2)=1,$A11&lt;&gt;"")</formula>
    </cfRule>
  </conditionalFormatting>
  <conditionalFormatting sqref="J11:J610">
    <cfRule type="expression" priority="3" dxfId="3">
      <formula>AND($G11&lt;&gt;"",$J11&lt;0)</formula>
    </cfRule>
  </conditionalFormatting>
  <conditionalFormatting sqref="D11:D610">
    <cfRule type="expression" priority="4" dxfId="3">
      <formula>ISNUMBER(SEARCH("no existe",$D11))</formula>
    </cfRule>
  </conditionalFormatting>
  <dataValidations count="3">
    <dataValidation sqref="C11:C610" showDropDown="0" showInputMessage="1" showErrorMessage="1" allowBlank="1" errorTitle="Valor no permitido" error="El SKU debe existir en 2_Control_de_Stock." promptTitle="Código/SKU" prompt="El SKU debe existir en 2_Control_de_Stock." type="list">
      <formula1>=Lista_SKU</formula1>
    </dataValidation>
    <dataValidation sqref="H11:H610" showDropDown="0" showInputMessage="1" showErrorMessage="1" allowBlank="1" errorTitle="Valor no permitido" error="Efectivo, Tarjeta, Transferencia, Yape/Plin o Crédito." promptTitle="Método de Pago" prompt="Efectivo, Tarjeta, Transferencia, Yape/Plin o Crédito." type="list">
      <formula1>=Lista_MetodosPago</formula1>
    </dataValidation>
    <dataValidation sqref="E11:E610" showDropDown="0" showInputMessage="0" showErrorMessage="1" allowBlank="1" errorTitle="Cantidad inválida" error="Ingresa un número entero mayor a cero." type="whole" operator="greaterThan">
      <formula1>0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6B9D"/>
    <outlinePr summaryBelow="1" summaryRight="1"/>
    <pageSetUpPr fitToPage="1"/>
  </sheetPr>
  <dimension ref="A1:P5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5" customWidth="1" min="7" max="7"/>
    <col width="13" customWidth="1" min="8" max="8"/>
    <col width="15" customWidth="1" min="9" max="9"/>
    <col width="13" customWidth="1" min="10" max="10"/>
    <col width="15" customWidth="1" min="11" max="11"/>
    <col width="13" customWidth="1" min="12" max="12"/>
    <col width="15" customWidth="1" min="13" max="13"/>
    <col width="13" customWidth="1" min="14" max="14"/>
    <col width="3" customWidth="1" min="15" max="15"/>
    <col width="14" customWidth="1" min="16" max="16"/>
    <col width="14" customWidth="1" min="17" max="17"/>
  </cols>
  <sheetData>
    <row r="1" ht="20" customHeight="1">
      <c r="A1" s="15" t="inlineStr">
        <is>
          <t xml:space="preserve">   DAMABIS ✨ Panel de Control Gerencial
   Librería y Útiles Escolares · Indicadores del mes seleccionado</t>
        </is>
      </c>
    </row>
    <row r="2" ht="22" customHeight="1"/>
    <row r="3" ht="22" customHeight="1"/>
    <row r="4" ht="20" customHeight="1">
      <c r="P4" s="38" t="inlineStr">
        <is>
          <t>Rango calculado (auxiliar)</t>
        </is>
      </c>
    </row>
    <row r="5" ht="6" customHeight="1">
      <c r="P5" s="39">
        <f>DATE($D$7,$D$6,1)</f>
        <v/>
      </c>
    </row>
    <row r="6">
      <c r="A6" s="40" t="inlineStr">
        <is>
          <t>📅 PERIODO</t>
        </is>
      </c>
      <c r="B6" s="17" t="n"/>
      <c r="C6" s="41" t="inlineStr">
        <is>
          <t>Mes</t>
        </is>
      </c>
      <c r="D6" s="42" t="n">
        <v>8</v>
      </c>
      <c r="E6" s="43">
        <f>CHOOSE($D$6,"ENERO","FEBRERO","MARZO","ABRIL","MAYO","JUNIO","JULIO","AGOSTO","SEPTIEMBRE","OCTUBRE","NOVIEMBRE","DICIEMBRE")&amp;" "&amp;$D$7</f>
        <v/>
      </c>
      <c r="P6" s="39">
        <f>EOMONTH($P$5,0)</f>
        <v/>
      </c>
    </row>
    <row r="7">
      <c r="A7" s="17" t="n"/>
      <c r="B7" s="17" t="n"/>
      <c r="C7" s="41" t="inlineStr">
        <is>
          <t>Año</t>
        </is>
      </c>
      <c r="D7" s="42" t="n">
        <v>2026</v>
      </c>
    </row>
    <row r="9" ht="18" customHeight="1">
      <c r="A9" s="44" t="inlineStr">
        <is>
          <t>🛍️ VENTAS TOTALES DEL MES</t>
        </is>
      </c>
      <c r="B9" s="17" t="n"/>
      <c r="C9" s="17" t="n"/>
      <c r="D9" s="16" t="inlineStr">
        <is>
          <t>💚 GANANCIA BRUTA DEL MES</t>
        </is>
      </c>
      <c r="E9" s="17" t="n"/>
      <c r="F9" s="17" t="n"/>
      <c r="G9" s="28" t="inlineStr">
        <is>
          <t>💰 INVERSIÓN EN COMPRAS DEL MES</t>
        </is>
      </c>
      <c r="H9" s="17" t="n"/>
      <c r="I9" s="17" t="n"/>
      <c r="J9" s="45" t="inlineStr">
        <is>
          <t>🏦 VALOR TOTAL DEL INVENTARIO</t>
        </is>
      </c>
      <c r="K9" s="17" t="n"/>
      <c r="L9" s="17" t="n"/>
      <c r="M9" s="44" t="inlineStr">
        <is>
          <t>📈 MARGEN DEL MES</t>
        </is>
      </c>
      <c r="N9" s="17" t="n"/>
    </row>
    <row r="10" ht="14" customHeight="1">
      <c r="A10" s="18">
        <f>SUMIFS('3_Ventas_Diarias'!$G$11:$G$610,'3_Ventas_Diarias'!$A$11:$A$610,"&gt;="&amp;$P$5,'3_Ventas_Diarias'!$A$11:$A$610,"&lt;="&amp;$P$6)</f>
        <v/>
      </c>
      <c r="B10" s="17" t="n"/>
      <c r="C10" s="17" t="n"/>
      <c r="D10" s="18">
        <f>SUMIFS('3_Ventas_Diarias'!$J$11:$J$610,'3_Ventas_Diarias'!$A$11:$A$610,"&gt;="&amp;$P$5,'3_Ventas_Diarias'!$A$11:$A$610,"&lt;="&amp;$P$6)</f>
        <v/>
      </c>
      <c r="E10" s="17" t="n"/>
      <c r="F10" s="17" t="n"/>
      <c r="G10" s="18">
        <f>SUMIFS('1_Compras_e_Inventario_Inicial'!$I$11:$I$510,'1_Compras_e_Inventario_Inicial'!$A$11:$A$510,"&gt;="&amp;$P$5,'1_Compras_e_Inventario_Inicial'!$A$11:$A$510,"&lt;="&amp;$P$6)</f>
        <v/>
      </c>
      <c r="H10" s="17" t="n"/>
      <c r="I10" s="17" t="n"/>
      <c r="J10" s="18">
        <f>SUM('2_Control_de_Stock'!$L$11:$L$210)</f>
        <v/>
      </c>
      <c r="K10" s="17" t="n"/>
      <c r="L10" s="17" t="n"/>
      <c r="M10" s="29">
        <f>IFERROR(SUMIFS('3_Ventas_Diarias'!$J$11:$J$610,'3_Ventas_Diarias'!$A$11:$A$610,"&gt;="&amp;$P$5,'3_Ventas_Diarias'!$A$11:$A$610,"&lt;="&amp;$P$6)/SUMIFS('3_Ventas_Diarias'!$G$11:$G$610,'3_Ventas_Diarias'!$A$11:$A$610,"&gt;="&amp;$P$5,'3_Ventas_Diarias'!$A$11:$A$610,"&lt;="&amp;$P$6),0)</f>
        <v/>
      </c>
      <c r="N10" s="17" t="n"/>
    </row>
    <row r="11" ht="16" customHeight="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3" ht="18" customHeight="1">
      <c r="A13" s="16" t="inlineStr">
        <is>
          <t>⭐ PRODUCTO ESTRELLA DEL MES</t>
        </is>
      </c>
      <c r="B13" s="17" t="n"/>
      <c r="C13" s="17" t="n"/>
      <c r="D13" s="28" t="inlineStr">
        <is>
          <t>🎟️ TICKETS DEL MES</t>
        </is>
      </c>
      <c r="E13" s="17" t="n"/>
      <c r="F13" s="17" t="n"/>
      <c r="G13" s="45" t="inlineStr">
        <is>
          <t>📦 UNIDADES VENDIDAS EN EL MES</t>
        </is>
      </c>
      <c r="H13" s="17" t="n"/>
      <c r="I13" s="17" t="n"/>
      <c r="J13" s="27" t="inlineStr">
        <is>
          <t>🚨 SKUs EN ALERTA</t>
        </is>
      </c>
      <c r="K13" s="17" t="n"/>
      <c r="L13" s="17" t="n"/>
      <c r="M13" s="44" t="inlineStr">
        <is>
          <t>💳 % VENTAS EN EFECTIVO</t>
        </is>
      </c>
      <c r="N13" s="17" t="n"/>
    </row>
    <row r="14" ht="14" customHeight="1">
      <c r="A14" s="46">
        <f>IFERROR(INDEX('0_Listas_y_Apoyo'!$I$4:$I$203,MATCH(MAX('0_Listas_y_Apoyo'!$M$4:$M$203),'0_Listas_y_Apoyo'!$M$4:$M$203,0)),"Sin ventas")</f>
        <v/>
      </c>
      <c r="B14" s="17" t="n"/>
      <c r="C14" s="17" t="n"/>
      <c r="D14" s="19">
        <f>SUMPRODUCT(('3_Ventas_Diarias'!$B$11:$B$610&lt;&gt;"")*('3_Ventas_Diarias'!$A$11:$A$610&gt;=$P$5)*('3_Ventas_Diarias'!$A$11:$A$610&lt;=$P$6)/COUNTIF('3_Ventas_Diarias'!$B$11:$B$610,'3_Ventas_Diarias'!$B$11:$B$610&amp;""))</f>
        <v/>
      </c>
      <c r="E14" s="17" t="n"/>
      <c r="F14" s="17" t="n"/>
      <c r="G14" s="19">
        <f>SUMIFS('3_Ventas_Diarias'!$E$11:$E$610,'3_Ventas_Diarias'!$A$11:$A$610,"&gt;="&amp;$P$5,'3_Ventas_Diarias'!$A$11:$A$610,"&lt;="&amp;$P$6)</f>
        <v/>
      </c>
      <c r="H14" s="17" t="n"/>
      <c r="I14" s="17" t="n"/>
      <c r="J14" s="19">
        <f>COUNTIF('2_Control_de_Stock'!$I$11:$I$210,"*REPONER*")+COUNTIF('2_Control_de_Stock'!$I$11:$I$210,"*SIN STOCK*")</f>
        <v/>
      </c>
      <c r="K14" s="17" t="n"/>
      <c r="L14" s="17" t="n"/>
      <c r="M14" s="29">
        <f>IFERROR(SUMIFS('3_Ventas_Diarias'!$G$11:$G$610,'3_Ventas_Diarias'!$H$11:$H$610,"Efectivo",'3_Ventas_Diarias'!$A$11:$A$610,"&gt;="&amp;$P$5,'3_Ventas_Diarias'!$A$11:$A$610,"&lt;="&amp;$P$6)/SUMIFS('3_Ventas_Diarias'!$G$11:$G$610,'3_Ventas_Diarias'!$A$11:$A$610,"&gt;="&amp;$P$5,'3_Ventas_Diarias'!$A$11:$A$610,"&lt;="&amp;$P$6),0)</f>
        <v/>
      </c>
      <c r="N14" s="17" t="n"/>
    </row>
    <row r="15" ht="16" customHeight="1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8">
      <c r="A18" s="47" t="inlineStr">
        <is>
          <t>📚 VENTAS POR CATEGORÍA</t>
        </is>
      </c>
      <c r="F18" s="47" t="inlineStr">
        <is>
          <t>🏆 TOP 5 PRODUCTOS MÁS VENDIDOS DEL MES (por ingresos S/)</t>
        </is>
      </c>
    </row>
    <row r="19">
      <c r="A19" s="4" t="inlineStr">
        <is>
          <t>Categoría</t>
        </is>
      </c>
      <c r="B19" s="4" t="inlineStr">
        <is>
          <t>Unidades</t>
        </is>
      </c>
      <c r="C19" s="4" t="inlineStr">
        <is>
          <t>Ingresos</t>
        </is>
      </c>
      <c r="D19" s="4" t="inlineStr">
        <is>
          <t>% Part.</t>
        </is>
      </c>
      <c r="F19" s="4" t="inlineStr">
        <is>
          <t>#</t>
        </is>
      </c>
      <c r="G19" s="4" t="inlineStr">
        <is>
          <t>Descripción</t>
        </is>
      </c>
      <c r="H19" s="4" t="inlineStr">
        <is>
          <t>SKU</t>
        </is>
      </c>
      <c r="I19" s="4" t="inlineStr">
        <is>
          <t>Unidades</t>
        </is>
      </c>
      <c r="J19" s="4" t="inlineStr">
        <is>
          <t>Ingresos</t>
        </is>
      </c>
    </row>
    <row r="20">
      <c r="A20" s="5">
        <f>'0_Listas_y_Apoyo'!$A$4</f>
        <v/>
      </c>
      <c r="B20" s="48">
        <f>SUMIFS('3_Ventas_Diarias'!$E$11:$E$610,'3_Ventas_Diarias'!$K$11:$K$610,$A20,'3_Ventas_Diarias'!$A$11:$A$610,"&gt;="&amp;$P$5,'3_Ventas_Diarias'!$A$11:$A$610,"&lt;="&amp;$P$6)</f>
        <v/>
      </c>
      <c r="C20" s="49">
        <f>SUMIFS('3_Ventas_Diarias'!$G$11:$G$610,'3_Ventas_Diarias'!$K$11:$K$610,$A20,'3_Ventas_Diarias'!$A$11:$A$610,"&gt;="&amp;$P$5,'3_Ventas_Diarias'!$A$11:$A$610,"&lt;="&amp;$P$6)</f>
        <v/>
      </c>
      <c r="D20" s="50">
        <f>IFERROR($C20/SUM($C$20:$C$29),0)</f>
        <v/>
      </c>
      <c r="F20" s="51" t="n">
        <v>1</v>
      </c>
      <c r="G20" s="5">
        <f>IFERROR(IF(LARGE('0_Listas_y_Apoyo'!$M$4:$M$203,1)&lt;=0,"—",INDEX('0_Listas_y_Apoyo'!$I$4:$I$203,MATCH(LARGE('0_Listas_y_Apoyo'!$M$4:$M$203,1),'0_Listas_y_Apoyo'!$M$4:$M$203,0))),"—")</f>
        <v/>
      </c>
      <c r="H20" s="52">
        <f>IFERROR(IF(LARGE('0_Listas_y_Apoyo'!$M$4:$M$203,1)&lt;=0,"—",INDEX('0_Listas_y_Apoyo'!$H$4:$H$203,MATCH(LARGE('0_Listas_y_Apoyo'!$M$4:$M$203,1),'0_Listas_y_Apoyo'!$M$4:$M$203,0))),"—")</f>
        <v/>
      </c>
      <c r="I20" s="48">
        <f>IFERROR(IF(LARGE('0_Listas_y_Apoyo'!$M$4:$M$203,1)&lt;=0,0,INDEX('0_Listas_y_Apoyo'!$J$4:$J$203,MATCH(LARGE('0_Listas_y_Apoyo'!$M$4:$M$203,1),'0_Listas_y_Apoyo'!$M$4:$M$203,0))),0)</f>
        <v/>
      </c>
      <c r="J20" s="49">
        <f>IFERROR(IF(LARGE('0_Listas_y_Apoyo'!$M$4:$M$203,1)&lt;=0,0,INDEX('0_Listas_y_Apoyo'!$K$4:$K$203,MATCH(LARGE('0_Listas_y_Apoyo'!$M$4:$M$203,1),'0_Listas_y_Apoyo'!$M$4:$M$203,0))),0)</f>
        <v/>
      </c>
    </row>
    <row r="21">
      <c r="A21" s="10">
        <f>'0_Listas_y_Apoyo'!$A$5</f>
        <v/>
      </c>
      <c r="B21" s="53">
        <f>SUMIFS('3_Ventas_Diarias'!$E$11:$E$610,'3_Ventas_Diarias'!$K$11:$K$610,$A21,'3_Ventas_Diarias'!$A$11:$A$610,"&gt;="&amp;$P$5,'3_Ventas_Diarias'!$A$11:$A$610,"&lt;="&amp;$P$6)</f>
        <v/>
      </c>
      <c r="C21" s="54">
        <f>SUMIFS('3_Ventas_Diarias'!$G$11:$G$610,'3_Ventas_Diarias'!$K$11:$K$610,$A21,'3_Ventas_Diarias'!$A$11:$A$610,"&gt;="&amp;$P$5,'3_Ventas_Diarias'!$A$11:$A$610,"&lt;="&amp;$P$6)</f>
        <v/>
      </c>
      <c r="D21" s="55">
        <f>IFERROR($C21/SUM($C$20:$C$29),0)</f>
        <v/>
      </c>
      <c r="F21" s="56" t="n">
        <v>2</v>
      </c>
      <c r="G21" s="10">
        <f>IFERROR(IF(LARGE('0_Listas_y_Apoyo'!$M$4:$M$203,2)&lt;=0,"—",INDEX('0_Listas_y_Apoyo'!$I$4:$I$203,MATCH(LARGE('0_Listas_y_Apoyo'!$M$4:$M$203,2),'0_Listas_y_Apoyo'!$M$4:$M$203,0))),"—")</f>
        <v/>
      </c>
      <c r="H21" s="57">
        <f>IFERROR(IF(LARGE('0_Listas_y_Apoyo'!$M$4:$M$203,2)&lt;=0,"—",INDEX('0_Listas_y_Apoyo'!$H$4:$H$203,MATCH(LARGE('0_Listas_y_Apoyo'!$M$4:$M$203,2),'0_Listas_y_Apoyo'!$M$4:$M$203,0))),"—")</f>
        <v/>
      </c>
      <c r="I21" s="53">
        <f>IFERROR(IF(LARGE('0_Listas_y_Apoyo'!$M$4:$M$203,2)&lt;=0,0,INDEX('0_Listas_y_Apoyo'!$J$4:$J$203,MATCH(LARGE('0_Listas_y_Apoyo'!$M$4:$M$203,2),'0_Listas_y_Apoyo'!$M$4:$M$203,0))),0)</f>
        <v/>
      </c>
      <c r="J21" s="54">
        <f>IFERROR(IF(LARGE('0_Listas_y_Apoyo'!$M$4:$M$203,2)&lt;=0,0,INDEX('0_Listas_y_Apoyo'!$K$4:$K$203,MATCH(LARGE('0_Listas_y_Apoyo'!$M$4:$M$203,2),'0_Listas_y_Apoyo'!$M$4:$M$203,0))),0)</f>
        <v/>
      </c>
    </row>
    <row r="22">
      <c r="A22" s="5">
        <f>'0_Listas_y_Apoyo'!$A$6</f>
        <v/>
      </c>
      <c r="B22" s="48">
        <f>SUMIFS('3_Ventas_Diarias'!$E$11:$E$610,'3_Ventas_Diarias'!$K$11:$K$610,$A22,'3_Ventas_Diarias'!$A$11:$A$610,"&gt;="&amp;$P$5,'3_Ventas_Diarias'!$A$11:$A$610,"&lt;="&amp;$P$6)</f>
        <v/>
      </c>
      <c r="C22" s="49">
        <f>SUMIFS('3_Ventas_Diarias'!$G$11:$G$610,'3_Ventas_Diarias'!$K$11:$K$610,$A22,'3_Ventas_Diarias'!$A$11:$A$610,"&gt;="&amp;$P$5,'3_Ventas_Diarias'!$A$11:$A$610,"&lt;="&amp;$P$6)</f>
        <v/>
      </c>
      <c r="D22" s="50">
        <f>IFERROR($C22/SUM($C$20:$C$29),0)</f>
        <v/>
      </c>
      <c r="F22" s="51" t="n">
        <v>3</v>
      </c>
      <c r="G22" s="5">
        <f>IFERROR(IF(LARGE('0_Listas_y_Apoyo'!$M$4:$M$203,3)&lt;=0,"—",INDEX('0_Listas_y_Apoyo'!$I$4:$I$203,MATCH(LARGE('0_Listas_y_Apoyo'!$M$4:$M$203,3),'0_Listas_y_Apoyo'!$M$4:$M$203,0))),"—")</f>
        <v/>
      </c>
      <c r="H22" s="52">
        <f>IFERROR(IF(LARGE('0_Listas_y_Apoyo'!$M$4:$M$203,3)&lt;=0,"—",INDEX('0_Listas_y_Apoyo'!$H$4:$H$203,MATCH(LARGE('0_Listas_y_Apoyo'!$M$4:$M$203,3),'0_Listas_y_Apoyo'!$M$4:$M$203,0))),"—")</f>
        <v/>
      </c>
      <c r="I22" s="48">
        <f>IFERROR(IF(LARGE('0_Listas_y_Apoyo'!$M$4:$M$203,3)&lt;=0,0,INDEX('0_Listas_y_Apoyo'!$J$4:$J$203,MATCH(LARGE('0_Listas_y_Apoyo'!$M$4:$M$203,3),'0_Listas_y_Apoyo'!$M$4:$M$203,0))),0)</f>
        <v/>
      </c>
      <c r="J22" s="49">
        <f>IFERROR(IF(LARGE('0_Listas_y_Apoyo'!$M$4:$M$203,3)&lt;=0,0,INDEX('0_Listas_y_Apoyo'!$K$4:$K$203,MATCH(LARGE('0_Listas_y_Apoyo'!$M$4:$M$203,3),'0_Listas_y_Apoyo'!$M$4:$M$203,0))),0)</f>
        <v/>
      </c>
    </row>
    <row r="23">
      <c r="A23" s="10">
        <f>'0_Listas_y_Apoyo'!$A$7</f>
        <v/>
      </c>
      <c r="B23" s="53">
        <f>SUMIFS('3_Ventas_Diarias'!$E$11:$E$610,'3_Ventas_Diarias'!$K$11:$K$610,$A23,'3_Ventas_Diarias'!$A$11:$A$610,"&gt;="&amp;$P$5,'3_Ventas_Diarias'!$A$11:$A$610,"&lt;="&amp;$P$6)</f>
        <v/>
      </c>
      <c r="C23" s="54">
        <f>SUMIFS('3_Ventas_Diarias'!$G$11:$G$610,'3_Ventas_Diarias'!$K$11:$K$610,$A23,'3_Ventas_Diarias'!$A$11:$A$610,"&gt;="&amp;$P$5,'3_Ventas_Diarias'!$A$11:$A$610,"&lt;="&amp;$P$6)</f>
        <v/>
      </c>
      <c r="D23" s="55">
        <f>IFERROR($C23/SUM($C$20:$C$29),0)</f>
        <v/>
      </c>
      <c r="F23" s="56" t="n">
        <v>4</v>
      </c>
      <c r="G23" s="10">
        <f>IFERROR(IF(LARGE('0_Listas_y_Apoyo'!$M$4:$M$203,4)&lt;=0,"—",INDEX('0_Listas_y_Apoyo'!$I$4:$I$203,MATCH(LARGE('0_Listas_y_Apoyo'!$M$4:$M$203,4),'0_Listas_y_Apoyo'!$M$4:$M$203,0))),"—")</f>
        <v/>
      </c>
      <c r="H23" s="57">
        <f>IFERROR(IF(LARGE('0_Listas_y_Apoyo'!$M$4:$M$203,4)&lt;=0,"—",INDEX('0_Listas_y_Apoyo'!$H$4:$H$203,MATCH(LARGE('0_Listas_y_Apoyo'!$M$4:$M$203,4),'0_Listas_y_Apoyo'!$M$4:$M$203,0))),"—")</f>
        <v/>
      </c>
      <c r="I23" s="53">
        <f>IFERROR(IF(LARGE('0_Listas_y_Apoyo'!$M$4:$M$203,4)&lt;=0,0,INDEX('0_Listas_y_Apoyo'!$J$4:$J$203,MATCH(LARGE('0_Listas_y_Apoyo'!$M$4:$M$203,4),'0_Listas_y_Apoyo'!$M$4:$M$203,0))),0)</f>
        <v/>
      </c>
      <c r="J23" s="54">
        <f>IFERROR(IF(LARGE('0_Listas_y_Apoyo'!$M$4:$M$203,4)&lt;=0,0,INDEX('0_Listas_y_Apoyo'!$K$4:$K$203,MATCH(LARGE('0_Listas_y_Apoyo'!$M$4:$M$203,4),'0_Listas_y_Apoyo'!$M$4:$M$203,0))),0)</f>
        <v/>
      </c>
    </row>
    <row r="24">
      <c r="A24" s="5">
        <f>'0_Listas_y_Apoyo'!$A$8</f>
        <v/>
      </c>
      <c r="B24" s="48">
        <f>SUMIFS('3_Ventas_Diarias'!$E$11:$E$610,'3_Ventas_Diarias'!$K$11:$K$610,$A24,'3_Ventas_Diarias'!$A$11:$A$610,"&gt;="&amp;$P$5,'3_Ventas_Diarias'!$A$11:$A$610,"&lt;="&amp;$P$6)</f>
        <v/>
      </c>
      <c r="C24" s="49">
        <f>SUMIFS('3_Ventas_Diarias'!$G$11:$G$610,'3_Ventas_Diarias'!$K$11:$K$610,$A24,'3_Ventas_Diarias'!$A$11:$A$610,"&gt;="&amp;$P$5,'3_Ventas_Diarias'!$A$11:$A$610,"&lt;="&amp;$P$6)</f>
        <v/>
      </c>
      <c r="D24" s="50">
        <f>IFERROR($C24/SUM($C$20:$C$29),0)</f>
        <v/>
      </c>
      <c r="F24" s="51" t="n">
        <v>5</v>
      </c>
      <c r="G24" s="5">
        <f>IFERROR(IF(LARGE('0_Listas_y_Apoyo'!$M$4:$M$203,5)&lt;=0,"—",INDEX('0_Listas_y_Apoyo'!$I$4:$I$203,MATCH(LARGE('0_Listas_y_Apoyo'!$M$4:$M$203,5),'0_Listas_y_Apoyo'!$M$4:$M$203,0))),"—")</f>
        <v/>
      </c>
      <c r="H24" s="52">
        <f>IFERROR(IF(LARGE('0_Listas_y_Apoyo'!$M$4:$M$203,5)&lt;=0,"—",INDEX('0_Listas_y_Apoyo'!$H$4:$H$203,MATCH(LARGE('0_Listas_y_Apoyo'!$M$4:$M$203,5),'0_Listas_y_Apoyo'!$M$4:$M$203,0))),"—")</f>
        <v/>
      </c>
      <c r="I24" s="48">
        <f>IFERROR(IF(LARGE('0_Listas_y_Apoyo'!$M$4:$M$203,5)&lt;=0,0,INDEX('0_Listas_y_Apoyo'!$J$4:$J$203,MATCH(LARGE('0_Listas_y_Apoyo'!$M$4:$M$203,5),'0_Listas_y_Apoyo'!$M$4:$M$203,0))),0)</f>
        <v/>
      </c>
      <c r="J24" s="49">
        <f>IFERROR(IF(LARGE('0_Listas_y_Apoyo'!$M$4:$M$203,5)&lt;=0,0,INDEX('0_Listas_y_Apoyo'!$K$4:$K$203,MATCH(LARGE('0_Listas_y_Apoyo'!$M$4:$M$203,5),'0_Listas_y_Apoyo'!$M$4:$M$203,0))),0)</f>
        <v/>
      </c>
    </row>
    <row r="25">
      <c r="A25" s="10">
        <f>'0_Listas_y_Apoyo'!$A$9</f>
        <v/>
      </c>
      <c r="B25" s="53">
        <f>SUMIFS('3_Ventas_Diarias'!$E$11:$E$610,'3_Ventas_Diarias'!$K$11:$K$610,$A25,'3_Ventas_Diarias'!$A$11:$A$610,"&gt;="&amp;$P$5,'3_Ventas_Diarias'!$A$11:$A$610,"&lt;="&amp;$P$6)</f>
        <v/>
      </c>
      <c r="C25" s="54">
        <f>SUMIFS('3_Ventas_Diarias'!$G$11:$G$610,'3_Ventas_Diarias'!$K$11:$K$610,$A25,'3_Ventas_Diarias'!$A$11:$A$610,"&gt;="&amp;$P$5,'3_Ventas_Diarias'!$A$11:$A$610,"&lt;="&amp;$P$6)</f>
        <v/>
      </c>
      <c r="D25" s="55">
        <f>IFERROR($C25/SUM($C$20:$C$29),0)</f>
        <v/>
      </c>
    </row>
    <row r="26">
      <c r="A26" s="5">
        <f>'0_Listas_y_Apoyo'!$A$10</f>
        <v/>
      </c>
      <c r="B26" s="48">
        <f>SUMIFS('3_Ventas_Diarias'!$E$11:$E$610,'3_Ventas_Diarias'!$K$11:$K$610,$A26,'3_Ventas_Diarias'!$A$11:$A$610,"&gt;="&amp;$P$5,'3_Ventas_Diarias'!$A$11:$A$610,"&lt;="&amp;$P$6)</f>
        <v/>
      </c>
      <c r="C26" s="49">
        <f>SUMIFS('3_Ventas_Diarias'!$G$11:$G$610,'3_Ventas_Diarias'!$K$11:$K$610,$A26,'3_Ventas_Diarias'!$A$11:$A$610,"&gt;="&amp;$P$5,'3_Ventas_Diarias'!$A$11:$A$610,"&lt;="&amp;$P$6)</f>
        <v/>
      </c>
      <c r="D26" s="50">
        <f>IFERROR($C26/SUM($C$20:$C$29),0)</f>
        <v/>
      </c>
      <c r="F26" s="47" t="inlineStr">
        <is>
          <t>💳 VENTAS POR MÉTODO DE PAGO</t>
        </is>
      </c>
    </row>
    <row r="27">
      <c r="A27" s="10">
        <f>'0_Listas_y_Apoyo'!$A$11</f>
        <v/>
      </c>
      <c r="B27" s="53">
        <f>SUMIFS('3_Ventas_Diarias'!$E$11:$E$610,'3_Ventas_Diarias'!$K$11:$K$610,$A27,'3_Ventas_Diarias'!$A$11:$A$610,"&gt;="&amp;$P$5,'3_Ventas_Diarias'!$A$11:$A$610,"&lt;="&amp;$P$6)</f>
        <v/>
      </c>
      <c r="C27" s="54">
        <f>SUMIFS('3_Ventas_Diarias'!$G$11:$G$610,'3_Ventas_Diarias'!$K$11:$K$610,$A27,'3_Ventas_Diarias'!$A$11:$A$610,"&gt;="&amp;$P$5,'3_Ventas_Diarias'!$A$11:$A$610,"&lt;="&amp;$P$6)</f>
        <v/>
      </c>
      <c r="D27" s="55">
        <f>IFERROR($C27/SUM($C$20:$C$29),0)</f>
        <v/>
      </c>
      <c r="F27" s="4" t="inlineStr">
        <is>
          <t>Método</t>
        </is>
      </c>
      <c r="G27" s="4" t="inlineStr">
        <is>
          <t>Importe</t>
        </is>
      </c>
      <c r="H27" s="4" t="inlineStr">
        <is>
          <t>% Part.</t>
        </is>
      </c>
      <c r="I27" s="4" t="inlineStr"/>
      <c r="J27" s="4" t="inlineStr"/>
    </row>
    <row r="28">
      <c r="A28" s="5">
        <f>'0_Listas_y_Apoyo'!$A$12</f>
        <v/>
      </c>
      <c r="B28" s="48">
        <f>SUMIFS('3_Ventas_Diarias'!$E$11:$E$610,'3_Ventas_Diarias'!$K$11:$K$610,$A28,'3_Ventas_Diarias'!$A$11:$A$610,"&gt;="&amp;$P$5,'3_Ventas_Diarias'!$A$11:$A$610,"&lt;="&amp;$P$6)</f>
        <v/>
      </c>
      <c r="C28" s="49">
        <f>SUMIFS('3_Ventas_Diarias'!$G$11:$G$610,'3_Ventas_Diarias'!$K$11:$K$610,$A28,'3_Ventas_Diarias'!$A$11:$A$610,"&gt;="&amp;$P$5,'3_Ventas_Diarias'!$A$11:$A$610,"&lt;="&amp;$P$6)</f>
        <v/>
      </c>
      <c r="D28" s="50">
        <f>IFERROR($C28/SUM($C$20:$C$29),0)</f>
        <v/>
      </c>
      <c r="F28" s="5">
        <f>'0_Listas_y_Apoyo'!$B$4</f>
        <v/>
      </c>
      <c r="G28" s="49">
        <f>SUMIFS('3_Ventas_Diarias'!$G$11:$G$610,'3_Ventas_Diarias'!$H$11:$H$610,$F28,'3_Ventas_Diarias'!$A$11:$A$610,"&gt;="&amp;$P$5,'3_Ventas_Diarias'!$A$11:$A$610,"&lt;="&amp;$P$6)</f>
        <v/>
      </c>
      <c r="H28" s="50">
        <f>IFERROR($G28/SUM($G$28:$G$32),0)</f>
        <v/>
      </c>
    </row>
    <row r="29">
      <c r="A29" s="10">
        <f>'0_Listas_y_Apoyo'!$A$13</f>
        <v/>
      </c>
      <c r="B29" s="53">
        <f>SUMIFS('3_Ventas_Diarias'!$E$11:$E$610,'3_Ventas_Diarias'!$K$11:$K$610,$A29,'3_Ventas_Diarias'!$A$11:$A$610,"&gt;="&amp;$P$5,'3_Ventas_Diarias'!$A$11:$A$610,"&lt;="&amp;$P$6)</f>
        <v/>
      </c>
      <c r="C29" s="54">
        <f>SUMIFS('3_Ventas_Diarias'!$G$11:$G$610,'3_Ventas_Diarias'!$K$11:$K$610,$A29,'3_Ventas_Diarias'!$A$11:$A$610,"&gt;="&amp;$P$5,'3_Ventas_Diarias'!$A$11:$A$610,"&lt;="&amp;$P$6)</f>
        <v/>
      </c>
      <c r="D29" s="55">
        <f>IFERROR($C29/SUM($C$20:$C$29),0)</f>
        <v/>
      </c>
      <c r="F29" s="10">
        <f>'0_Listas_y_Apoyo'!$B$5</f>
        <v/>
      </c>
      <c r="G29" s="54">
        <f>SUMIFS('3_Ventas_Diarias'!$G$11:$G$610,'3_Ventas_Diarias'!$H$11:$H$610,$F29,'3_Ventas_Diarias'!$A$11:$A$610,"&gt;="&amp;$P$5,'3_Ventas_Diarias'!$A$11:$A$610,"&lt;="&amp;$P$6)</f>
        <v/>
      </c>
      <c r="H29" s="55">
        <f>IFERROR($G29/SUM($G$28:$G$32),0)</f>
        <v/>
      </c>
    </row>
    <row r="30">
      <c r="A30" s="58" t="inlineStr">
        <is>
          <t>TOTAL</t>
        </is>
      </c>
      <c r="B30" s="3">
        <f>SUM($B$20:$B$29)</f>
        <v/>
      </c>
      <c r="C30" s="59">
        <f>SUM($C$20:$C$29)</f>
        <v/>
      </c>
      <c r="D30" s="60">
        <f>IFERROR($C30/$C30,0)</f>
        <v/>
      </c>
      <c r="F30" s="5">
        <f>'0_Listas_y_Apoyo'!$B$6</f>
        <v/>
      </c>
      <c r="G30" s="49">
        <f>SUMIFS('3_Ventas_Diarias'!$G$11:$G$610,'3_Ventas_Diarias'!$H$11:$H$610,$F30,'3_Ventas_Diarias'!$A$11:$A$610,"&gt;="&amp;$P$5,'3_Ventas_Diarias'!$A$11:$A$610,"&lt;="&amp;$P$6)</f>
        <v/>
      </c>
      <c r="H30" s="50">
        <f>IFERROR($G30/SUM($G$28:$G$32),0)</f>
        <v/>
      </c>
    </row>
    <row r="31">
      <c r="F31" s="10">
        <f>'0_Listas_y_Apoyo'!$B$7</f>
        <v/>
      </c>
      <c r="G31" s="54">
        <f>SUMIFS('3_Ventas_Diarias'!$G$11:$G$610,'3_Ventas_Diarias'!$H$11:$H$610,$F31,'3_Ventas_Diarias'!$A$11:$A$610,"&gt;="&amp;$P$5,'3_Ventas_Diarias'!$A$11:$A$610,"&lt;="&amp;$P$6)</f>
        <v/>
      </c>
      <c r="H31" s="55">
        <f>IFERROR($G31/SUM($G$28:$G$32),0)</f>
        <v/>
      </c>
    </row>
    <row r="32">
      <c r="F32" s="5">
        <f>'0_Listas_y_Apoyo'!$B$8</f>
        <v/>
      </c>
      <c r="G32" s="49">
        <f>SUMIFS('3_Ventas_Diarias'!$G$11:$G$610,'3_Ventas_Diarias'!$H$11:$H$610,$F32,'3_Ventas_Diarias'!$A$11:$A$610,"&gt;="&amp;$P$5,'3_Ventas_Diarias'!$A$11:$A$610,"&lt;="&amp;$P$6)</f>
        <v/>
      </c>
      <c r="H32" s="50">
        <f>IFERROR($G32/SUM($G$28:$G$32),0)</f>
        <v/>
      </c>
    </row>
    <row r="51" ht="16" customHeight="1">
      <c r="A51" s="20" t="inlineStr">
        <is>
          <t xml:space="preserve">   ℹ️ Cambia el Mes (D6) y el Año (D7) — celdas amarillas — y todo el panel se recalcula.  Fuente de datos: hojas 1, 2 y 3.  Moneda: Soles (S/).</t>
        </is>
      </c>
    </row>
  </sheetData>
  <mergeCells count="27">
    <mergeCell ref="A10:C11"/>
    <mergeCell ref="D13:F13"/>
    <mergeCell ref="D14:F15"/>
    <mergeCell ref="G13:I13"/>
    <mergeCell ref="J14:L15"/>
    <mergeCell ref="D10:F11"/>
    <mergeCell ref="M9:N9"/>
    <mergeCell ref="A51:N51"/>
    <mergeCell ref="M14:N15"/>
    <mergeCell ref="J10:L11"/>
    <mergeCell ref="E6:H7"/>
    <mergeCell ref="D9:F9"/>
    <mergeCell ref="F18:J18"/>
    <mergeCell ref="F26:J26"/>
    <mergeCell ref="M13:N13"/>
    <mergeCell ref="A1:N4"/>
    <mergeCell ref="A13:C13"/>
    <mergeCell ref="G10:I11"/>
    <mergeCell ref="A9:C9"/>
    <mergeCell ref="G9:I9"/>
    <mergeCell ref="A18:D18"/>
    <mergeCell ref="G14:I15"/>
    <mergeCell ref="J13:L13"/>
    <mergeCell ref="A14:C15"/>
    <mergeCell ref="A6:B7"/>
    <mergeCell ref="M10:N11"/>
    <mergeCell ref="J9:L9"/>
  </mergeCells>
  <conditionalFormatting sqref="C20:C29">
    <cfRule type="dataBar" priority="1">
      <dataBar showValue="1">
        <cfvo type="num" val="0"/>
        <cfvo type="max"/>
        <color rgb="00FF6B9D"/>
      </dataBar>
    </cfRule>
  </conditionalFormatting>
  <conditionalFormatting sqref="J20:J24">
    <cfRule type="dataBar" priority="2">
      <dataBar showValue="1">
        <cfvo type="num" val="0"/>
        <cfvo type="max"/>
        <color rgb="008E44AD"/>
      </dataBar>
    </cfRule>
  </conditionalFormatting>
  <dataValidations count="1">
    <dataValidation sqref="D6" showDropDown="0" showInputMessage="0" showErrorMessage="1" allowBlank="0" errorTitle="Mes inválido" error="Ingresa un número de mes entre 1 y 12." type="whole" operator="between">
      <formula1>1</formula1>
      <formula2>12</formula2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2026-09-11T14:55:00Z</dcterms:created>
  <dcterms:modified xsi:type="dcterms:W3CDTF">2026-09-11T14:55:01Z</dcterms:modified>
</cp:coreProperties>
</file>